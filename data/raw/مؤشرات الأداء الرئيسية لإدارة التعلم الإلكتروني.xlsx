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dedl-\Desktop\وحدة إدارة البيانات وقياس الأداء\مؤشرات الأداء الرئيسية\"/>
    </mc:Choice>
  </mc:AlternateContent>
  <xr:revisionPtr revIDLastSave="0" documentId="13_ncr:1_{E06BC4A9-CCE2-47B4-BD58-855F6E62ED34}" xr6:coauthVersionLast="47" xr6:coauthVersionMax="47" xr10:uidLastSave="{00000000-0000-0000-0000-000000000000}"/>
  <bookViews>
    <workbookView xWindow="-120" yWindow="-120" windowWidth="23280" windowHeight="14880" xr2:uid="{00000000-000D-0000-FFFF-FFFF00000000}"/>
  </bookViews>
  <sheets>
    <sheet name="Master" sheetId="1" r:id="rId1"/>
  </sheets>
  <externalReferences>
    <externalReference r:id="rId2"/>
  </externalReferences>
  <definedNames>
    <definedName name="المؤشر">Master!$E:$E</definedName>
    <definedName name="المؤشر_المتحقق">Master!$I:$I</definedName>
    <definedName name="المؤشر_المستهدف">Master!$H:$H</definedName>
    <definedName name="المؤشر_المكتمل">Master!$F:$F</definedName>
    <definedName name="الوحدة">Master!$D:$D</definedName>
    <definedName name="أهداف_الإدارة">Master!$B:$B</definedName>
    <definedName name="أهداف_الجامعة">Master!$A:$A</definedName>
    <definedName name="أهداف_الوحدة">Master!$C:$C</definedName>
    <definedName name="تاريخ_التسليم_الفعلي">Master!$N:$N</definedName>
    <definedName name="تاريخ_التسليم_حسب_الخطة">Master!$M:$M</definedName>
    <definedName name="فترة_التسليم">Master!$O:$O</definedName>
    <definedName name="نسبة_احتساب_التأخير_في_التقييم_السنوي">Master!$T:$T</definedName>
    <definedName name="نسبة_احتساب_التأخير_في_لوحة_المعلومات">Master!$R:$R</definedName>
    <definedName name="نسبة_الإنجاز">Master!$Q:$Q</definedName>
    <definedName name="نوع_المؤشر">Master!$G:$G</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64" i="1" l="1"/>
  <c r="Q164" i="1"/>
  <c r="R164" i="1"/>
  <c r="S164" i="1"/>
  <c r="S163" i="1"/>
  <c r="R163" i="1"/>
  <c r="Q163" i="1"/>
  <c r="O163" i="1"/>
  <c r="N163" i="1"/>
  <c r="S162" i="1"/>
  <c r="R162" i="1"/>
  <c r="Q162" i="1"/>
  <c r="O162" i="1"/>
  <c r="S161" i="1"/>
  <c r="R161" i="1"/>
  <c r="Q161" i="1"/>
  <c r="O161" i="1"/>
  <c r="S160" i="1"/>
  <c r="R160" i="1"/>
  <c r="Q160" i="1"/>
  <c r="O160" i="1"/>
  <c r="S159" i="1"/>
  <c r="R159" i="1"/>
  <c r="Q159" i="1"/>
  <c r="O159" i="1"/>
  <c r="S158" i="1"/>
  <c r="R158" i="1"/>
  <c r="Q158" i="1"/>
  <c r="O158" i="1"/>
  <c r="S157" i="1"/>
  <c r="R157" i="1"/>
  <c r="Q157" i="1"/>
  <c r="O157" i="1"/>
  <c r="S156" i="1"/>
  <c r="R156" i="1"/>
  <c r="Q156" i="1"/>
  <c r="O156" i="1"/>
  <c r="S155" i="1"/>
  <c r="R155" i="1"/>
  <c r="Q155" i="1"/>
  <c r="O155" i="1"/>
  <c r="S154" i="1"/>
  <c r="R154" i="1"/>
  <c r="Q154" i="1"/>
  <c r="O154" i="1"/>
  <c r="S153" i="1"/>
  <c r="R153" i="1"/>
  <c r="Q153" i="1"/>
  <c r="O153" i="1"/>
  <c r="S152" i="1"/>
  <c r="R152" i="1"/>
  <c r="Q152" i="1"/>
  <c r="O152" i="1"/>
  <c r="S151" i="1"/>
  <c r="R151" i="1"/>
  <c r="Q151" i="1"/>
  <c r="O151" i="1"/>
  <c r="S150" i="1"/>
  <c r="R150" i="1"/>
  <c r="Q150" i="1"/>
  <c r="O150" i="1"/>
  <c r="S149" i="1"/>
  <c r="R149" i="1"/>
  <c r="Q149" i="1"/>
  <c r="O149" i="1"/>
  <c r="S148" i="1"/>
  <c r="R148" i="1"/>
  <c r="Q148" i="1"/>
  <c r="O148" i="1"/>
  <c r="S147" i="1"/>
  <c r="R147" i="1"/>
  <c r="Q147" i="1"/>
  <c r="O147" i="1"/>
  <c r="S146" i="1"/>
  <c r="R146" i="1"/>
  <c r="Q146" i="1"/>
  <c r="O146" i="1"/>
  <c r="S145" i="1"/>
  <c r="R145" i="1"/>
  <c r="Q145" i="1"/>
  <c r="O145" i="1"/>
  <c r="S144" i="1"/>
  <c r="R144" i="1"/>
  <c r="Q144" i="1"/>
  <c r="O144" i="1"/>
  <c r="S143" i="1"/>
  <c r="R143" i="1"/>
  <c r="Q143" i="1"/>
  <c r="O143" i="1"/>
  <c r="S142" i="1"/>
  <c r="R142" i="1"/>
  <c r="Q142" i="1"/>
  <c r="O142" i="1"/>
  <c r="S141" i="1"/>
  <c r="R141" i="1"/>
  <c r="Q141" i="1"/>
  <c r="O141" i="1"/>
  <c r="S140" i="1"/>
  <c r="R140" i="1"/>
  <c r="Q140" i="1"/>
  <c r="O140" i="1"/>
  <c r="S139" i="1"/>
  <c r="R139" i="1"/>
  <c r="Q139" i="1"/>
  <c r="O139" i="1"/>
  <c r="S138" i="1"/>
  <c r="R138" i="1"/>
  <c r="Q138" i="1"/>
  <c r="O138" i="1"/>
  <c r="S137" i="1"/>
  <c r="R137" i="1"/>
  <c r="Q137" i="1"/>
  <c r="O137" i="1"/>
  <c r="S136" i="1"/>
  <c r="R136" i="1"/>
  <c r="Q136" i="1"/>
  <c r="O136" i="1"/>
  <c r="S135" i="1"/>
  <c r="R135" i="1"/>
  <c r="Q135" i="1"/>
  <c r="O135" i="1"/>
  <c r="S134" i="1"/>
  <c r="R134" i="1"/>
  <c r="Q134" i="1"/>
  <c r="O134" i="1"/>
  <c r="S133" i="1"/>
  <c r="R133" i="1"/>
  <c r="Q133" i="1"/>
  <c r="O133" i="1"/>
  <c r="S132" i="1"/>
  <c r="R132" i="1"/>
  <c r="Q132" i="1"/>
  <c r="O132" i="1"/>
  <c r="S131" i="1"/>
  <c r="R131" i="1"/>
  <c r="Q131" i="1"/>
  <c r="O131" i="1"/>
  <c r="S130" i="1"/>
  <c r="R130" i="1"/>
  <c r="Q130" i="1"/>
  <c r="O130" i="1"/>
  <c r="S129" i="1"/>
  <c r="R129" i="1"/>
  <c r="Q129" i="1"/>
  <c r="O129" i="1"/>
  <c r="S128" i="1"/>
  <c r="R128" i="1"/>
  <c r="Q128" i="1"/>
  <c r="O128" i="1"/>
  <c r="S127" i="1"/>
  <c r="R127" i="1"/>
  <c r="Q127" i="1"/>
  <c r="O127" i="1"/>
  <c r="S126" i="1"/>
  <c r="R126" i="1"/>
  <c r="Q126" i="1"/>
  <c r="O126" i="1"/>
  <c r="S125" i="1"/>
  <c r="R125" i="1"/>
  <c r="Q125" i="1"/>
  <c r="O125" i="1"/>
  <c r="S124" i="1"/>
  <c r="R124" i="1"/>
  <c r="Q124" i="1"/>
  <c r="O124" i="1"/>
  <c r="S123" i="1"/>
  <c r="R123" i="1"/>
  <c r="Q123" i="1"/>
  <c r="O123" i="1"/>
  <c r="S122" i="1"/>
  <c r="R122" i="1"/>
  <c r="Q122" i="1"/>
  <c r="O122" i="1"/>
  <c r="S121" i="1"/>
  <c r="R121" i="1"/>
  <c r="Q121" i="1"/>
  <c r="O121" i="1"/>
  <c r="S120" i="1"/>
  <c r="R120" i="1"/>
  <c r="Q120" i="1"/>
  <c r="O120" i="1"/>
  <c r="S119" i="1"/>
  <c r="R119" i="1"/>
  <c r="Q119" i="1"/>
  <c r="O119" i="1"/>
  <c r="S118" i="1"/>
  <c r="R118" i="1"/>
  <c r="Q118" i="1"/>
  <c r="O118" i="1"/>
  <c r="S117" i="1"/>
  <c r="R117" i="1"/>
  <c r="Q117" i="1"/>
  <c r="O117" i="1"/>
  <c r="S116" i="1"/>
  <c r="R116" i="1"/>
  <c r="Q116" i="1"/>
  <c r="O116" i="1"/>
  <c r="S115" i="1"/>
  <c r="R115" i="1"/>
  <c r="Q115" i="1"/>
  <c r="O115" i="1"/>
  <c r="S114" i="1"/>
  <c r="R114" i="1"/>
  <c r="Q114" i="1"/>
  <c r="O114" i="1"/>
  <c r="S113" i="1"/>
  <c r="R113" i="1"/>
  <c r="Q113" i="1"/>
  <c r="O113" i="1"/>
  <c r="S112" i="1"/>
  <c r="R112" i="1"/>
  <c r="Q112" i="1"/>
  <c r="O112" i="1"/>
  <c r="S111" i="1"/>
  <c r="R111" i="1"/>
  <c r="Q111" i="1"/>
  <c r="O111" i="1"/>
  <c r="S110" i="1"/>
  <c r="R110" i="1"/>
  <c r="Q110" i="1"/>
  <c r="O110" i="1"/>
  <c r="S109" i="1"/>
  <c r="R109" i="1"/>
  <c r="Q109" i="1"/>
  <c r="O109" i="1"/>
  <c r="S108" i="1"/>
  <c r="R108" i="1"/>
  <c r="Q108" i="1"/>
  <c r="O108" i="1"/>
  <c r="S107" i="1"/>
  <c r="R107" i="1"/>
  <c r="Q107" i="1"/>
  <c r="O107" i="1"/>
  <c r="S106" i="1"/>
  <c r="R106" i="1"/>
  <c r="Q106" i="1"/>
  <c r="O106" i="1"/>
  <c r="S105" i="1"/>
  <c r="R105" i="1"/>
  <c r="Q105" i="1"/>
  <c r="O105" i="1"/>
  <c r="S104" i="1"/>
  <c r="R104" i="1"/>
  <c r="Q104" i="1"/>
  <c r="O104" i="1"/>
  <c r="S103" i="1"/>
  <c r="R103" i="1"/>
  <c r="Q103" i="1"/>
  <c r="O103" i="1"/>
  <c r="S102" i="1"/>
  <c r="R102" i="1"/>
  <c r="Q102" i="1"/>
  <c r="O102" i="1"/>
  <c r="S101" i="1"/>
  <c r="R101" i="1"/>
  <c r="Q101" i="1"/>
  <c r="O101" i="1"/>
  <c r="S100" i="1"/>
  <c r="R100" i="1"/>
  <c r="Q100" i="1"/>
  <c r="O100" i="1"/>
  <c r="S99" i="1"/>
  <c r="R99" i="1"/>
  <c r="Q99" i="1"/>
  <c r="O99" i="1"/>
  <c r="S98" i="1"/>
  <c r="R98" i="1"/>
  <c r="Q98" i="1"/>
  <c r="O98" i="1"/>
  <c r="S97" i="1"/>
  <c r="R97" i="1"/>
  <c r="Q97" i="1"/>
  <c r="O97" i="1"/>
  <c r="S96" i="1"/>
  <c r="R96" i="1"/>
  <c r="Q96" i="1"/>
  <c r="O96" i="1"/>
  <c r="S95" i="1"/>
  <c r="R95" i="1"/>
  <c r="Q95" i="1"/>
  <c r="O95" i="1"/>
  <c r="S94" i="1"/>
  <c r="R94" i="1"/>
  <c r="Q94" i="1"/>
  <c r="O94" i="1"/>
  <c r="S93" i="1"/>
  <c r="R93" i="1"/>
  <c r="Q93" i="1"/>
  <c r="O93" i="1"/>
  <c r="S92" i="1"/>
  <c r="R92" i="1"/>
  <c r="Q92" i="1"/>
  <c r="O92" i="1"/>
  <c r="S91" i="1"/>
  <c r="R91" i="1"/>
  <c r="Q91" i="1"/>
  <c r="O91" i="1"/>
  <c r="S90" i="1"/>
  <c r="R90" i="1"/>
  <c r="Q90" i="1"/>
  <c r="O90" i="1"/>
  <c r="S89" i="1"/>
  <c r="R89" i="1"/>
  <c r="Q89" i="1"/>
  <c r="O89" i="1"/>
  <c r="S88" i="1"/>
  <c r="R88" i="1"/>
  <c r="Q88" i="1"/>
  <c r="O88" i="1"/>
  <c r="S87" i="1"/>
  <c r="R87" i="1"/>
  <c r="Q87" i="1"/>
  <c r="O87" i="1"/>
  <c r="S86" i="1"/>
  <c r="R86" i="1"/>
  <c r="Q86" i="1"/>
  <c r="O86" i="1"/>
  <c r="S85" i="1"/>
  <c r="R85" i="1"/>
  <c r="Q85" i="1"/>
  <c r="O85" i="1"/>
  <c r="S84" i="1"/>
  <c r="R84" i="1"/>
  <c r="Q84" i="1"/>
  <c r="O84" i="1"/>
  <c r="S83" i="1"/>
  <c r="R83" i="1"/>
  <c r="Q83" i="1"/>
  <c r="O83" i="1"/>
  <c r="S82" i="1"/>
  <c r="R82" i="1"/>
  <c r="Q82" i="1"/>
  <c r="O82" i="1"/>
  <c r="S81" i="1"/>
  <c r="R81" i="1"/>
  <c r="Q81" i="1"/>
  <c r="O81" i="1"/>
  <c r="S80" i="1"/>
  <c r="R80" i="1"/>
  <c r="Q80" i="1"/>
  <c r="O80" i="1"/>
  <c r="S79" i="1"/>
  <c r="R79" i="1"/>
  <c r="Q79" i="1"/>
  <c r="O79" i="1"/>
  <c r="S78" i="1"/>
  <c r="R78" i="1"/>
  <c r="Q78" i="1"/>
  <c r="O78" i="1"/>
  <c r="S77" i="1"/>
  <c r="R77" i="1"/>
  <c r="Q77" i="1"/>
  <c r="O77" i="1"/>
  <c r="S76" i="1"/>
  <c r="R76" i="1"/>
  <c r="Q76" i="1"/>
  <c r="O76" i="1"/>
  <c r="S75" i="1"/>
  <c r="R75" i="1"/>
  <c r="Q75" i="1"/>
  <c r="O75" i="1"/>
  <c r="S74" i="1"/>
  <c r="R74" i="1"/>
  <c r="Q74" i="1"/>
  <c r="O74" i="1"/>
  <c r="S73" i="1"/>
  <c r="R73" i="1"/>
  <c r="Q73" i="1"/>
  <c r="O73" i="1"/>
  <c r="S72" i="1"/>
  <c r="R72" i="1"/>
  <c r="Q72" i="1"/>
  <c r="O72" i="1"/>
  <c r="S71" i="1"/>
  <c r="R71" i="1"/>
  <c r="Q71" i="1"/>
  <c r="O71" i="1"/>
  <c r="S70" i="1"/>
  <c r="R70" i="1"/>
  <c r="Q70" i="1"/>
  <c r="O70" i="1"/>
  <c r="S69" i="1"/>
  <c r="R69" i="1"/>
  <c r="Q69" i="1"/>
  <c r="O69" i="1"/>
  <c r="S68" i="1"/>
  <c r="R68" i="1"/>
  <c r="Q68" i="1"/>
  <c r="O68" i="1"/>
  <c r="S67" i="1"/>
  <c r="R67" i="1"/>
  <c r="Q67" i="1"/>
  <c r="O67" i="1"/>
  <c r="S66" i="1"/>
  <c r="R66" i="1"/>
  <c r="Q66" i="1"/>
  <c r="O66" i="1"/>
  <c r="S65" i="1"/>
  <c r="R65" i="1"/>
  <c r="Q65" i="1"/>
  <c r="O65" i="1"/>
  <c r="S64" i="1"/>
  <c r="R64" i="1"/>
  <c r="Q64" i="1"/>
  <c r="O64" i="1"/>
  <c r="S63" i="1"/>
  <c r="R63" i="1"/>
  <c r="Q63" i="1"/>
  <c r="O63" i="1"/>
  <c r="S62" i="1"/>
  <c r="R62" i="1"/>
  <c r="Q62" i="1"/>
  <c r="O62" i="1"/>
  <c r="S61" i="1"/>
  <c r="R61" i="1"/>
  <c r="Q61" i="1"/>
  <c r="O61" i="1"/>
  <c r="S60" i="1"/>
  <c r="R60" i="1"/>
  <c r="Q60" i="1"/>
  <c r="O60" i="1"/>
  <c r="S59" i="1"/>
  <c r="R59" i="1"/>
  <c r="Q59" i="1"/>
  <c r="O59" i="1"/>
  <c r="S58" i="1"/>
  <c r="R58" i="1"/>
  <c r="Q58" i="1"/>
  <c r="O58" i="1"/>
  <c r="S57" i="1"/>
  <c r="R57" i="1"/>
  <c r="Q57" i="1"/>
  <c r="O57" i="1"/>
  <c r="S56" i="1"/>
  <c r="R56" i="1"/>
  <c r="Q56" i="1"/>
  <c r="O56" i="1"/>
  <c r="S55" i="1"/>
  <c r="R55" i="1"/>
  <c r="Q55" i="1"/>
  <c r="O55" i="1"/>
  <c r="S54" i="1"/>
  <c r="R54" i="1"/>
  <c r="Q54" i="1"/>
  <c r="O54" i="1"/>
  <c r="S53" i="1"/>
  <c r="R53" i="1"/>
  <c r="Q53" i="1"/>
  <c r="O53" i="1"/>
  <c r="S52" i="1"/>
  <c r="R52" i="1"/>
  <c r="Q52" i="1"/>
  <c r="O52" i="1"/>
  <c r="S51" i="1"/>
  <c r="R51" i="1"/>
  <c r="Q51" i="1"/>
  <c r="O51" i="1"/>
  <c r="S50" i="1"/>
  <c r="R50" i="1"/>
  <c r="Q50" i="1"/>
  <c r="O50" i="1"/>
  <c r="S49" i="1"/>
  <c r="R49" i="1"/>
  <c r="Q49" i="1"/>
  <c r="O49" i="1"/>
  <c r="S48" i="1"/>
  <c r="R48" i="1"/>
  <c r="Q48" i="1"/>
  <c r="O48" i="1"/>
  <c r="S47" i="1"/>
  <c r="R47" i="1"/>
  <c r="Q47" i="1"/>
  <c r="O47" i="1"/>
  <c r="S46" i="1"/>
  <c r="R46" i="1"/>
  <c r="Q46" i="1"/>
  <c r="O46" i="1"/>
  <c r="S45" i="1"/>
  <c r="R45" i="1"/>
  <c r="Q45" i="1"/>
  <c r="O45" i="1"/>
  <c r="S44" i="1"/>
  <c r="R44" i="1"/>
  <c r="Q44" i="1"/>
  <c r="O44" i="1"/>
  <c r="S43" i="1"/>
  <c r="R43" i="1"/>
  <c r="Q43" i="1"/>
  <c r="O43" i="1"/>
  <c r="S42" i="1"/>
  <c r="R42" i="1"/>
  <c r="Q42" i="1"/>
  <c r="O42" i="1"/>
  <c r="S41" i="1"/>
  <c r="R41" i="1"/>
  <c r="Q41" i="1"/>
  <c r="O41" i="1"/>
  <c r="S40" i="1"/>
  <c r="R40" i="1"/>
  <c r="Q40" i="1"/>
  <c r="O40" i="1"/>
  <c r="S39" i="1"/>
  <c r="R39" i="1"/>
  <c r="Q39" i="1"/>
  <c r="O39" i="1"/>
  <c r="S38" i="1"/>
  <c r="R38" i="1"/>
  <c r="Q38" i="1"/>
  <c r="O38" i="1"/>
  <c r="S37" i="1"/>
  <c r="R37" i="1"/>
  <c r="Q37" i="1"/>
  <c r="O37" i="1"/>
  <c r="S36" i="1"/>
  <c r="R36" i="1"/>
  <c r="Q36" i="1"/>
  <c r="O36" i="1"/>
  <c r="S35" i="1"/>
  <c r="R35" i="1"/>
  <c r="Q35" i="1"/>
  <c r="O35" i="1"/>
  <c r="S34" i="1"/>
  <c r="R34" i="1"/>
  <c r="Q34" i="1"/>
  <c r="O34" i="1"/>
  <c r="S33" i="1"/>
  <c r="R33" i="1"/>
  <c r="Q33" i="1"/>
  <c r="O33" i="1"/>
  <c r="S32" i="1"/>
  <c r="R32" i="1"/>
  <c r="Q32" i="1"/>
  <c r="O32" i="1"/>
  <c r="S31" i="1"/>
  <c r="R31" i="1"/>
  <c r="Q31" i="1"/>
  <c r="O31" i="1"/>
  <c r="S30" i="1"/>
  <c r="R30" i="1"/>
  <c r="Q30" i="1"/>
  <c r="O30" i="1"/>
  <c r="S29" i="1"/>
  <c r="R29" i="1"/>
  <c r="Q29" i="1"/>
  <c r="O29" i="1"/>
  <c r="S28" i="1"/>
  <c r="R28" i="1"/>
  <c r="Q28" i="1"/>
  <c r="O28" i="1"/>
  <c r="S27" i="1"/>
  <c r="R27" i="1"/>
  <c r="Q27" i="1"/>
  <c r="O27" i="1"/>
  <c r="S26" i="1"/>
  <c r="R26" i="1"/>
  <c r="Q26" i="1"/>
  <c r="O26" i="1"/>
  <c r="S25" i="1"/>
  <c r="R25" i="1"/>
  <c r="Q25" i="1"/>
  <c r="O25" i="1"/>
  <c r="S24" i="1"/>
  <c r="R24" i="1"/>
  <c r="Q24" i="1"/>
  <c r="O24" i="1"/>
  <c r="S23" i="1"/>
  <c r="R23" i="1"/>
  <c r="Q23" i="1"/>
  <c r="O23" i="1"/>
  <c r="S22" i="1"/>
  <c r="R22" i="1"/>
  <c r="Q22" i="1"/>
  <c r="O22" i="1"/>
  <c r="S21" i="1"/>
  <c r="R21" i="1"/>
  <c r="Q21" i="1"/>
  <c r="O21" i="1"/>
  <c r="S20" i="1"/>
  <c r="R20" i="1"/>
  <c r="Q20" i="1"/>
  <c r="O20" i="1"/>
  <c r="S19" i="1"/>
  <c r="R19" i="1"/>
  <c r="Q19" i="1"/>
  <c r="O19" i="1"/>
  <c r="S18" i="1"/>
  <c r="R18" i="1"/>
  <c r="Q18" i="1"/>
  <c r="O18" i="1"/>
  <c r="S17" i="1"/>
  <c r="R17" i="1"/>
  <c r="Q17" i="1"/>
  <c r="O17" i="1"/>
  <c r="S16" i="1"/>
  <c r="R16" i="1"/>
  <c r="Q16" i="1"/>
  <c r="O16" i="1"/>
  <c r="S15" i="1"/>
  <c r="R15" i="1"/>
  <c r="Q15" i="1"/>
  <c r="O15" i="1"/>
  <c r="S14" i="1"/>
  <c r="R14" i="1"/>
  <c r="Q14" i="1"/>
  <c r="O14" i="1"/>
  <c r="S13" i="1"/>
  <c r="R13" i="1"/>
  <c r="Q13" i="1"/>
  <c r="O13" i="1"/>
  <c r="S12" i="1"/>
  <c r="R12" i="1"/>
  <c r="Q12" i="1"/>
  <c r="O12" i="1"/>
  <c r="S11" i="1"/>
  <c r="R11" i="1"/>
  <c r="Q11" i="1"/>
  <c r="O11" i="1"/>
  <c r="S10" i="1"/>
  <c r="R10" i="1"/>
  <c r="Q10" i="1"/>
  <c r="O10" i="1"/>
  <c r="S9" i="1"/>
  <c r="R9" i="1"/>
  <c r="Q9" i="1"/>
  <c r="O9" i="1"/>
  <c r="S8" i="1"/>
  <c r="R8" i="1"/>
  <c r="Q8" i="1"/>
  <c r="O8" i="1"/>
  <c r="S7" i="1"/>
  <c r="R7" i="1"/>
  <c r="Q7" i="1"/>
  <c r="O7" i="1"/>
  <c r="S6" i="1"/>
  <c r="R6" i="1"/>
  <c r="Q6" i="1"/>
  <c r="O6" i="1"/>
  <c r="S5" i="1"/>
  <c r="R5" i="1"/>
  <c r="Q5" i="1"/>
  <c r="O5" i="1"/>
  <c r="S4" i="1"/>
  <c r="R4" i="1"/>
  <c r="Q4" i="1"/>
  <c r="O4" i="1"/>
  <c r="S3" i="1"/>
  <c r="R3" i="1"/>
  <c r="Q3" i="1"/>
  <c r="O3" i="1"/>
  <c r="S2" i="1"/>
  <c r="R2" i="1"/>
  <c r="Q2" i="1"/>
  <c r="O2" i="1"/>
</calcChain>
</file>

<file path=xl/sharedStrings.xml><?xml version="1.0" encoding="utf-8"?>
<sst xmlns="http://schemas.openxmlformats.org/spreadsheetml/2006/main" count="1373" uniqueCount="199">
  <si>
    <t>أهداف الجامعة</t>
  </si>
  <si>
    <t>أهداف الإدارة</t>
  </si>
  <si>
    <t>أهداف الوحدة</t>
  </si>
  <si>
    <t>الوحدة</t>
  </si>
  <si>
    <t>نوع المؤشر</t>
  </si>
  <si>
    <t>المخرج</t>
  </si>
  <si>
    <t>تاريخ التسليم حسب الخطة</t>
  </si>
  <si>
    <t>تاريخ التسليم الفعلي</t>
  </si>
  <si>
    <t>فترة التسليم</t>
  </si>
  <si>
    <t>نسبة الإنجاز</t>
  </si>
  <si>
    <t>تقرير</t>
  </si>
  <si>
    <t>الربع الثاني</t>
  </si>
  <si>
    <t>N/A</t>
  </si>
  <si>
    <t>الربع الثالث</t>
  </si>
  <si>
    <t>الربع الأول</t>
  </si>
  <si>
    <t>مقرر</t>
  </si>
  <si>
    <t>اختبار</t>
  </si>
  <si>
    <t>كفاءات منافسة في الاقتصاد الوطني</t>
  </si>
  <si>
    <t>تفعيل برامج التعليم عن بعد والتدريب الإلكتروني</t>
  </si>
  <si>
    <t>دورة</t>
  </si>
  <si>
    <t>لقاء</t>
  </si>
  <si>
    <t>متابعة سير العملية التعليمية لبرامج التعليم عن بعد في نظام إدارة التعلم الإلكتروني Blackboard</t>
  </si>
  <si>
    <t>وحدة التعليم عن بعد</t>
  </si>
  <si>
    <t>تقرير متابعة سير العملية التعليمية لبرامج التعليم عن بعد في نظام إدارة التعلم الإلكتروني Blackboard للفصل الأول</t>
  </si>
  <si>
    <t>تقرير متابعة سير العملية التعليمية لبرامج التعليم عن بعد في نظام إدارة التعلم الإلكتروني Blackboard للفصل الثاني</t>
  </si>
  <si>
    <t>إعداد خطط التهيئة والمتابعة لبرامج التعليم عن بعد</t>
  </si>
  <si>
    <t>خطة  التهيئة والمتابعة لبرامج التعليم عن بعد للفصل الأول</t>
  </si>
  <si>
    <t>خطة  التهيئة والمتابعة لبرامج التعليم عن بعد للفصل الثاني</t>
  </si>
  <si>
    <t>تقديم الدعم لأعضاء الهيئة التعليمية والطالبات لبرامج التعليم عن بعد</t>
  </si>
  <si>
    <t>تقرير تقديم الدعم الفني لنظام البلاك بورد لكل من طالبات وأعضاء برامج التعليم عن بعد للفصل الأول</t>
  </si>
  <si>
    <t>تقرير تقديم الدعم الفني لنظام البلاك بورد لكل من طالبات وأعضاء برامج التعليم عن بعد للفصل الثاني</t>
  </si>
  <si>
    <t>تقرير التحقق من إعدادات الاختبارات الإلكترونية للفصل الأول</t>
  </si>
  <si>
    <t>تقرير التحقق من إعدادات الاختبارات الإلكترونية للفصل الثاني</t>
  </si>
  <si>
    <t>تقرير متابعة طلب الاقتراحات أو الشكاوي من اعضاء هيئة التدريس وطالبات برامج التعليم عن يعد للفصل الأول</t>
  </si>
  <si>
    <t>تقرير متابعة طلب الاقتراحات أو الشكاوي من اعضاء هيئة التدريس وطالبات برامج التعليم عن يعد للفصل الثاني</t>
  </si>
  <si>
    <t>إرسال الأدلة (النصية والمرئية) المتعلقة بالتدريس الإلكتروني</t>
  </si>
  <si>
    <t>بريد</t>
  </si>
  <si>
    <t>المؤشر من ضمن خطة التهيئة الفصل الأول</t>
  </si>
  <si>
    <t>المؤشر من ضمن خطة التهيئة الفصل الثاني</t>
  </si>
  <si>
    <t>متابعة تقارير الإلتزام والجودة مع المركز الوطني للتعليم الإلكتروني</t>
  </si>
  <si>
    <t>تقرير الإلتزام والجودة مع المركز الوطني للتعليم الإلكتروني</t>
  </si>
  <si>
    <t>المؤشر الأساسي</t>
  </si>
  <si>
    <t>المؤشر  الأساسي المكتمل</t>
  </si>
  <si>
    <t>المؤشر الفرعي</t>
  </si>
  <si>
    <t>المؤشر الفرعي المكتمل</t>
  </si>
  <si>
    <t>احتساب عدد أيام التأخير في التقييم السنوي</t>
  </si>
  <si>
    <t>احتساب عدد أيام التأخير</t>
  </si>
  <si>
    <t xml:space="preserve">احتساب نسبة التأخير </t>
  </si>
  <si>
    <t>رقم</t>
  </si>
  <si>
    <t>نوع القيمة</t>
  </si>
  <si>
    <t>حالة المؤشر</t>
  </si>
  <si>
    <t>مكتمل</t>
  </si>
  <si>
    <t>ممكنات مؤسسية تدعم التميز و الاستدامة والاستقرار المالي</t>
  </si>
  <si>
    <t>تعزيز الأداء الإداري وتوفير الدعم والخدمات اللازمة لتحقيق الأهداف المنشودة بفعالية وكفاءة</t>
  </si>
  <si>
    <t>الإشراف الإداري على العمليات المالية​</t>
  </si>
  <si>
    <t>وحدة الكفاءة الإدارية</t>
  </si>
  <si>
    <t>تقرير متابعة العمليات المالية وتدقيقها</t>
  </si>
  <si>
    <t>تقرير تجديد اشتراكات الرخص</t>
  </si>
  <si>
    <t>الإشراف الإداري على الشؤون الإدارية</t>
  </si>
  <si>
    <t>تقرير فحص المرافق ورفع طلبات الصيانه</t>
  </si>
  <si>
    <t>تقرير تحسين تجربة الإجتماعات</t>
  </si>
  <si>
    <t>تقرير تحديث الأصول الثابته</t>
  </si>
  <si>
    <t>تقرير رفع طلبات الرجيع</t>
  </si>
  <si>
    <t>تقرير رفع طلبات الإحتياج</t>
  </si>
  <si>
    <t>تقرير إدارة البريد الرسمي لإدارة التعلم الإلكتروني</t>
  </si>
  <si>
    <t>تقرير تنظيم التسليم واستلام عهد الإدارة</t>
  </si>
  <si>
    <t>نموذج</t>
  </si>
  <si>
    <t>نموذج الإجراءات الإدارية وتحسين سير العمل</t>
  </si>
  <si>
    <t>الإشراف الإداري على الاتصالات الإدارية​</t>
  </si>
  <si>
    <t>تقرير إعداد الخطابات</t>
  </si>
  <si>
    <t>تقرير إصدار المعاملات عبر نظام تراسل</t>
  </si>
  <si>
    <t>نموذج للمكاتبات والقرارات واللجان</t>
  </si>
  <si>
    <t>تقرير متابعة المعاملات عبر نظام تراسل</t>
  </si>
  <si>
    <t>تقرير توثيق معاملات نظام تراسل وأرشفتها</t>
  </si>
  <si>
    <t>دليل</t>
  </si>
  <si>
    <t>الدليل الإجرائي المتعلق باستخدام نظام تراسل</t>
  </si>
  <si>
    <t>المشاركة في المسؤولية المجتمعية​</t>
  </si>
  <si>
    <t>خطة</t>
  </si>
  <si>
    <t>خطة توعوية لمنسوبات الإدارة لتفعيل المشاركة في الأعمال التطوعية</t>
  </si>
  <si>
    <t>دليل إرشادي متعلقة باستخدام منصة العمل التطوعي</t>
  </si>
  <si>
    <t>تقرير تنظيم الفعاليات</t>
  </si>
  <si>
    <t>تقرير تفعيل الحملات والأنشطة التوعوية</t>
  </si>
  <si>
    <t>التواصل الداخلي وحجز قاعات الإجتماعات في الإدارة</t>
  </si>
  <si>
    <t>الإشراف الإداري على عمليات الموارد البشرية​</t>
  </si>
  <si>
    <t>تقرير معالجة الطلبات</t>
  </si>
  <si>
    <t>تقرير إنهاء اجراءات عمليات النقل والتكليف ومتابعتها 
مع الإدارة العامة للموارد البشرية</t>
  </si>
  <si>
    <t>تقرير تحديث التشكيلات الإدارية</t>
  </si>
  <si>
    <t>تقرير حصر الإحتياج للموارد البشرية</t>
  </si>
  <si>
    <t>تقرير إعداد مقترح أتمتة عمليات الموارد البشرية</t>
  </si>
  <si>
    <t>الإشراف الإداري على تطوير الموارد البشرية​</t>
  </si>
  <si>
    <t>تقرير رفع ترشيحات معهد الإدارة العامة لمنسوبات الإدارة</t>
  </si>
  <si>
    <t>تقرير حصر الإحتياج التدريبي لمنسوبات الإدارة</t>
  </si>
  <si>
    <t>خطة محتوى إضاءات التطوير المهني</t>
  </si>
  <si>
    <t>تقرير متابعة ميثاق الأداء الوظيفي وتقييم أداء الموظفات</t>
  </si>
  <si>
    <t>خطة عقد دورات تدريبية أو ورش عمل</t>
  </si>
  <si>
    <t>تفعيل ودعم أنظمة التعلم والتدريب الإلكتروني</t>
  </si>
  <si>
    <t>تشغيل وتطوير بيئة التعلم والتدريب الإلكتروني والتعليم عن بُعد وفقاً لأفضل الممارسات والإطار المعتمد للمركز الوطني للتعليم الإلكتروني</t>
  </si>
  <si>
    <t>وحدة الأنظمة الإلكترونية</t>
  </si>
  <si>
    <t>شعبة دراسية</t>
  </si>
  <si>
    <t>تقرير جاهزية الشعب الدراسية للفصل الأول</t>
  </si>
  <si>
    <t>تقرير عدد المقررات المضافة على النظام للفصل الأول</t>
  </si>
  <si>
    <t>تقرير عدد المقررات المضافة على النظام للفصل الأول
تقرير نسبة اكتمال أعمال التطوير لمنصة نورة
تقرير عدد الاختبارات الإلكترونية المنفذه للفصل الأول
تقرير نسبة تفعيل الشعب الدراسية للفصل الأول</t>
  </si>
  <si>
    <t>أداة</t>
  </si>
  <si>
    <t>نسبة اكتمال أعمال التطوير لمنصة نورة</t>
  </si>
  <si>
    <t>. تقرير جاهزية الشعب الدراسية للفصل الأول
2. تقرير عدد المقررات المضافة على النظام للفصل الأول
3. تقرير نسبة اكتمال أعمال التطوير لمنصة نورة
4. تقرير عدد الاختبارات الإلكترونية المنفذه للفصل الأول
5. تقرير نسبة تفعيل الشعب الدراسية للفصل الأول
7. تقرير الدعم التقني لنظام إدارة التعلم الإلكتروني للفصل الأول
8. تقرير تحسين تجربة المستخدم والوصول الشامل للفصل الأول
9. تقرير خطط التهيئة المنفذه
10. تقرير تحديث محتوى إدارة التعلم الإلكتروني على موقع الجامعة</t>
  </si>
  <si>
    <t>نسبة</t>
  </si>
  <si>
    <t>نسبة تفعيل الشعب الدراسية على نظام إدارة التعلم</t>
  </si>
  <si>
    <t>إعداد وتنفيذ خطط التهيئة السنوية لأنظمة التعلم الإلكتروني ووحدات التعلم الإلكتروني وأعضاء هيئة التدريس والطالبات</t>
  </si>
  <si>
    <t>. تقرير جاهزية الشعب الدراسية للفصل الثاني
2. تقرير عدد المقررات المضافة على النظام للفصل الثاني
3. تقرير نسبة اكتمال أعمال التطوير لمنصة نورة
4. تقرير عدد الاختبارات الإلكترونية المنفذه للفصل الثاني
5. تقرير نسبة تفعيل الشعب الدراسية للفصل الثاني
6. تقرير الدعم التقني لنظام إدارة التعلم الإلكتروني للفصل الثاني
7. تقرير تحسين تجربة المستخدم والوصول الشامل للفصل الثاني
8. تقرير نسبة رضا الطالبات وأعضاء هيئة التدريس عن استخدام نظام                                                       
    إدارة التعلم الإلكتروني
9. تقرير تحديث محتوى إدارة التعلم الإلكتروني على موقع الجامعة
10. خطة تطوير بيئة التعلم والتدريب الإلكتروني</t>
  </si>
  <si>
    <t>ورشة</t>
  </si>
  <si>
    <t>رسالة</t>
  </si>
  <si>
    <t>جهة</t>
  </si>
  <si>
    <t>متدرب</t>
  </si>
  <si>
    <t>. تقرير تفعيل الأدوات على بيئة التعلم الإلكتروني
2. خطة تطوير وتوظيف أدوات الذكاء الإصطناعي في تشغيل وتفعيل الأنظمة الإلكترونية
3. تقرير تحديث محتوى إدارة التعلم الإلكتروني على موقع الجامعة
4. خطة تطوير بيئة التعلم والتدريب الإلكتروني</t>
  </si>
  <si>
    <t>نسبة إتمام تنفيذ الخطط</t>
  </si>
  <si>
    <t>نسبة رضا الطالبات و أعضاء هيئة التدريس عن استخدام نظام إدارة التعلم</t>
  </si>
  <si>
    <t>تقديم الدعم التقني اللازم لمستخدمي أنظمة التعلم الإلكتروني</t>
  </si>
  <si>
    <t>نسبة رضا الطالبات وأعضاء هيئة التدريس عن الدعم المقدم</t>
  </si>
  <si>
    <t>تحسين تجربة المستخدم والوصول الشامل لأنظمة التعلم الإلكتروني</t>
  </si>
  <si>
    <t>تقرير تحسين تجربة المستخدم والوصول الشامل للفصل الأول</t>
  </si>
  <si>
    <t>إضاءة</t>
  </si>
  <si>
    <t>تطوير وتوظيف أدوات الذكاء الاصطناعي في تشغيل وتفعيل الأنظمة الإلكترونية</t>
  </si>
  <si>
    <t>وثيقة</t>
  </si>
  <si>
    <t>متابعة تحديث محتوى إدارة التعلم الإلكتروني على موقع الجامعة</t>
  </si>
  <si>
    <t>نسبة حداثة المحتوى الإلكتروني المنشور على موقع الإدارة</t>
  </si>
  <si>
    <t>توثيق عمل الوحدة وإعداد التقارير اللازمة</t>
  </si>
  <si>
    <t>تحقيق متطلبات الحصول على تراخيص الدورات التدريبية الإلكترونية بالتعاون مع المركز الوطني للتعليم الإلكتروني</t>
  </si>
  <si>
    <t>وحدة الإبتكار والتدريب الإلكتروني</t>
  </si>
  <si>
    <t>تقرير تفعيل منصة نورة + Future X</t>
  </si>
  <si>
    <t>الإشراف على تقديم برامج للتدريب على الشهادات الاحترافية في التعليم والتدريب الإلكتروني من المركز الوطني للتعليم الالكتروني</t>
  </si>
  <si>
    <t>تقرير الشهادات الإحترافية الفصل الأول</t>
  </si>
  <si>
    <t>نسبة إتمام المتدربين لبرامج الشهادات الاحترافية</t>
  </si>
  <si>
    <t>تقرير الشهادات الإحترافية الفصل الثاني</t>
  </si>
  <si>
    <t>نسبة رضا المتدربين عن برامج الشهادات الاحترافية</t>
  </si>
  <si>
    <t>الإشراف على تنفيذ برامج تدريبية لتهيئة وتحفيز منسوبي الجامعة لتطبيق أفضل الممارسات في التعليم الإلكتروني بالتعاون مع عمادة التطوير الأكاديمي</t>
  </si>
  <si>
    <t>نسبة رضا المتدربين عن برامج التدريب</t>
  </si>
  <si>
    <t>برامج تدريب</t>
  </si>
  <si>
    <t>إدارة مبادرة مسارات التعلم المرن للعام الجامي 1446هـ</t>
  </si>
  <si>
    <t>مستفيد</t>
  </si>
  <si>
    <t>تقرير مسارات التعلم المرن الفصل الأول</t>
  </si>
  <si>
    <t>نسبة رضا المتعلمين عن مبادرة مسارات التعلم المرن</t>
  </si>
  <si>
    <t>تقرير مسارات التعلم المرن الفصل الثاني</t>
  </si>
  <si>
    <t>تشغيل وتفعيل منصة نورة للتدريب الإلكتروني</t>
  </si>
  <si>
    <t>برامج أكاديمية متجددة تستشرف المستقبل
كفاءات منافسة في الاقتصاد الوطني</t>
  </si>
  <si>
    <t>تطوير المحتوى الرقمي للبرامج الأكاديمية والتدريبية وفق المعايير المعتمدة</t>
  </si>
  <si>
    <t>إنتاج المقررات والدورات الإلكترونية</t>
  </si>
  <si>
    <t>وحدة الإنتاج الرقمي</t>
  </si>
  <si>
    <t>نسبة انجاز المحتوى التفاعلي للمقررات والدورات الإلكترونية المصممة تعليمياً</t>
  </si>
  <si>
    <t>تقرير إنتاج المقررات والدورات الإلكترونية للفصل الأول</t>
  </si>
  <si>
    <t>نسبة انجاز المحتوى الجرافيكي للمقررات والدورات الإلكترونية  المصممة تعليمياً</t>
  </si>
  <si>
    <t>تقرير إنتاج المقررات والدورات الإلكترونية للفصل الثاني</t>
  </si>
  <si>
    <t>نسبة انجاز الفيديوهات للمقررات والدورات الإلكترونية  المصممة تعليمياً</t>
  </si>
  <si>
    <t>نسبة انجاز المحتوى مع تعليق صوتي احترافي</t>
  </si>
  <si>
    <t>نسبة تقليل معدل الأخطاء خلال السنة</t>
  </si>
  <si>
    <t>نسبة تقليل إعادة العمل</t>
  </si>
  <si>
    <t>تصميم المحتوى المرئي والمسموع للأغراض التعليمية والإرشادية والدعائية</t>
  </si>
  <si>
    <t>نسبة اكتمال المشاريع الجرافيكية حسب الجدول الزمني المحدد</t>
  </si>
  <si>
    <t>تقرير تصميم المحتوى المرئي والمسموع</t>
  </si>
  <si>
    <t>نسبة اكتمال الفيديوهات حسب الجدول الزمني المحدد</t>
  </si>
  <si>
    <t>بناء وتصميم واجهات المستخدم</t>
  </si>
  <si>
    <t>تصميم واجهة موقع</t>
  </si>
  <si>
    <t>موقع</t>
  </si>
  <si>
    <t>تطوير وتوظيف أدوات الذكاء الاصطناعي لإنتاج المحتوى الرقمي والتفاعلي</t>
  </si>
  <si>
    <t>تقرير تطوير وتوظيف أدوات الذكاء الإصطناعي في الإنتاج الرقمي</t>
  </si>
  <si>
    <t>إدارة وتهيئة استديوهات الإنتاج الرقمي</t>
  </si>
  <si>
    <t>منصة إلكترونية</t>
  </si>
  <si>
    <t>تقرير إدارة وتهيئة استديوهات الإنتاج الرقمي للفصل الأول</t>
  </si>
  <si>
    <t>تقرير إدارة وتهيئة استديوهات الإنتاج الرقمي للفصل الثاني</t>
  </si>
  <si>
    <t>نسبة إتمام عمليات الهندسة الصوتية</t>
  </si>
  <si>
    <t>معدل جودة الهندسة الصوتية</t>
  </si>
  <si>
    <t>توثيق وأرشفة المحتوى الرقمي</t>
  </si>
  <si>
    <t>تقرير توثيق وأرشفة المحتوى الرقمي للفصل الأول</t>
  </si>
  <si>
    <t>تقرير توثيق وأرشفة المحتوى الرقمي للفصل الثاني</t>
  </si>
  <si>
    <t>تصميم المقررات الإلكترونية وفق المعايير المعتمدة للتصميم التعليمي</t>
  </si>
  <si>
    <t>وحدة التصميم التعليمي</t>
  </si>
  <si>
    <t>تقرير تصميم المقررات الإلكترونية وفق المعايير المعتمدة للتصميم التعليمي الفصل الأول</t>
  </si>
  <si>
    <t>تقرير تصميم المقررات الإلكترونية وفق المعايير المعتمدة للتصميم التعليمي الفصل الثاني</t>
  </si>
  <si>
    <t>تصميم الدورات الإلكترونية (شهادات احترافية – دورات تدريبية) وفق المعايير المعتمدة للتصميم التعليمي</t>
  </si>
  <si>
    <t>نفس تقرير التصميم للمقررات</t>
  </si>
  <si>
    <t>تطوير السياسات والأدلة الإرشادية لتصميم المقررات الإلكترونية وآلية العمل في وحدة التصميم التعليمي</t>
  </si>
  <si>
    <t>تقرير تطوير السياسات والأدلة الإرشادية لتصميم المقررات الإلكترونية وآلية العمل في وحدة التصميم التعليمي</t>
  </si>
  <si>
    <t>أرشفة المقررات والدورات الإلكترونية حسب الآلية المتبعة في الوحدة</t>
  </si>
  <si>
    <t>تقرير أرشفة المقررات والدورات الإلكترونية حسب الآلية المتبعة في الوحدة الفصل الأول</t>
  </si>
  <si>
    <t>تقرير أرشفة المقررات والدورات الإلكترونية حسب الآلية المتبعة في الوحدة الفصل الثاني</t>
  </si>
  <si>
    <t>تطوير وتوظيف أدوات الذكاء الاصطناعي في  التصميم التعليمي</t>
  </si>
  <si>
    <t>تقرير تطوير وتوظيف أدوات الذكاء الإصطناعي في التصميم التعليمي</t>
  </si>
  <si>
    <t>إعداد ومتابعة التقارير الخاصة بتصميم المقررات الإلكترونية لكل فصل دراسي</t>
  </si>
  <si>
    <t>تقرير إعداد متابعة التقارير الخاصة بتصميم المقررات الإلكترونية للفصل الأول</t>
  </si>
  <si>
    <t>تقرير إعداد متابعة التقارير الخاصة بتصميم المقررات الإلكترونية للفصل الثاني</t>
  </si>
  <si>
    <t>إعداد وتنفيذ خطة تطوير المقررات والدورات الإلكترونية وقياس فاعليتها</t>
  </si>
  <si>
    <t>خطة تطوير المقررات والدورات الإلكترونية</t>
  </si>
  <si>
    <t>متابعة إثراء الموارد التعليمية والتدريبية المفتوحة من خلال المنصة الوطنية للموارد التعليمية المفتوحة</t>
  </si>
  <si>
    <t>مورد على منصة أوراكس</t>
  </si>
  <si>
    <t>تقرير متابعة إثراء الموارد التعليمية والتدريبية المفتوحة</t>
  </si>
  <si>
    <t>مورد على منصة اليوتيوب</t>
  </si>
  <si>
    <t>رفع ترتيب الجامعة في منصة أوراكس</t>
  </si>
  <si>
    <t>وحدة إدارة البيانات وقياس الأداء</t>
  </si>
  <si>
    <t>تفعيل الشراكات الاستراتيجية وإدارة المشاريع في مجال التعليم والتدريب الإلكتروني</t>
  </si>
  <si>
    <t>وحدة المشاريع والمبادارات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</si>
</sst>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scheme val="minor"/>
    </font>
    <font>
      <sz val="10"/>
      <color rgb="FF000000"/>
      <name val="Sakkal Majalla"/>
    </font>
    <font>
      <b/>
      <sz val="12"/>
      <color theme="0"/>
      <name val="Sakkal Majalla"/>
    </font>
    <font>
      <sz val="10"/>
      <color theme="0" tint="-4.9989318521683403E-2"/>
      <name val="Sakkal Majalla"/>
    </font>
    <font>
      <sz val="11"/>
      <color theme="1"/>
      <name val="Calibri"/>
      <family val="2"/>
      <scheme val="minor"/>
    </font>
    <font>
      <sz val="10"/>
      <color theme="1"/>
      <name val="Sakkal Majalla"/>
    </font>
  </fonts>
  <fills count="11">
    <fill>
      <patternFill patternType="none"/>
    </fill>
    <fill>
      <patternFill patternType="gray125"/>
    </fill>
    <fill>
      <patternFill patternType="solid">
        <fgColor theme="9" tint="0.79998168889431442"/>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rgb="FFFFD9D9"/>
        <bgColor indexed="64"/>
      </patternFill>
    </fill>
    <fill>
      <patternFill patternType="solid">
        <fgColor theme="4" tint="0.59999389629810485"/>
        <bgColor indexed="64"/>
      </patternFill>
    </fill>
    <fill>
      <patternFill patternType="solid">
        <fgColor theme="5" tint="0.79998168889431442"/>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42">
    <xf numFmtId="0" fontId="0" fillId="0" borderId="0" xfId="0"/>
    <xf numFmtId="0" fontId="1" fillId="0" borderId="0" xfId="0" applyFont="1" applyAlignment="1">
      <alignment horizontal="center" vertical="center"/>
    </xf>
    <xf numFmtId="1" fontId="1" fillId="0" borderId="0" xfId="0" applyNumberFormat="1" applyFont="1" applyAlignment="1">
      <alignment horizontal="center" vertical="center"/>
    </xf>
    <xf numFmtId="164" fontId="1" fillId="0" borderId="0" xfId="0" applyNumberFormat="1" applyFont="1" applyAlignment="1">
      <alignment horizontal="center" vertical="center"/>
    </xf>
    <xf numFmtId="1"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9" fontId="1" fillId="0" borderId="0" xfId="0" applyNumberFormat="1" applyFont="1" applyAlignment="1">
      <alignment horizontal="center" vertical="center"/>
    </xf>
    <xf numFmtId="9" fontId="0" fillId="0" borderId="0" xfId="0" applyNumberFormat="1"/>
    <xf numFmtId="0" fontId="2" fillId="3" borderId="0" xfId="0" applyFont="1" applyFill="1" applyAlignment="1">
      <alignment horizontal="center" vertical="center"/>
    </xf>
    <xf numFmtId="1" fontId="2" fillId="3" borderId="0" xfId="0" applyNumberFormat="1" applyFont="1" applyFill="1" applyAlignment="1">
      <alignment horizontal="center" vertical="center"/>
    </xf>
    <xf numFmtId="164" fontId="2" fillId="3" borderId="0" xfId="0" applyNumberFormat="1" applyFont="1" applyFill="1" applyAlignment="1">
      <alignment horizontal="center" vertical="center"/>
    </xf>
    <xf numFmtId="9" fontId="2" fillId="3" borderId="0" xfId="0" applyNumberFormat="1" applyFont="1" applyFill="1" applyAlignment="1">
      <alignment horizontal="center" vertical="center"/>
    </xf>
    <xf numFmtId="0" fontId="1" fillId="4" borderId="0" xfId="0" applyFont="1" applyFill="1" applyAlignment="1">
      <alignment horizontal="center" vertical="center"/>
    </xf>
    <xf numFmtId="1" fontId="1" fillId="4" borderId="0" xfId="0" applyNumberFormat="1" applyFont="1" applyFill="1" applyAlignment="1">
      <alignment horizontal="center" vertical="center"/>
    </xf>
    <xf numFmtId="0" fontId="1" fillId="5" borderId="0" xfId="0" applyFont="1" applyFill="1" applyAlignment="1">
      <alignment horizontal="center" vertical="center"/>
    </xf>
    <xf numFmtId="1" fontId="1" fillId="5" borderId="0" xfId="0" applyNumberFormat="1" applyFont="1" applyFill="1" applyAlignment="1">
      <alignment horizontal="center" vertical="center"/>
    </xf>
    <xf numFmtId="1" fontId="3" fillId="6" borderId="0" xfId="0" applyNumberFormat="1" applyFont="1" applyFill="1" applyAlignment="1">
      <alignment horizontal="center" vertical="center"/>
    </xf>
    <xf numFmtId="0" fontId="3" fillId="6" borderId="0" xfId="0" applyFont="1" applyFill="1" applyAlignment="1">
      <alignment horizontal="center" vertical="center"/>
    </xf>
    <xf numFmtId="0" fontId="1" fillId="2" borderId="0" xfId="0" applyFont="1" applyFill="1" applyAlignment="1">
      <alignment horizontal="center" vertical="center"/>
    </xf>
    <xf numFmtId="9" fontId="1" fillId="2" borderId="0" xfId="0" applyNumberFormat="1" applyFont="1" applyFill="1" applyAlignment="1">
      <alignment horizontal="center" vertical="center"/>
    </xf>
    <xf numFmtId="1" fontId="1" fillId="7" borderId="0" xfId="0" applyNumberFormat="1" applyFont="1" applyFill="1" applyAlignment="1">
      <alignment horizontal="center" vertical="center"/>
    </xf>
    <xf numFmtId="0" fontId="3" fillId="8" borderId="0" xfId="0" applyFont="1" applyFill="1" applyAlignment="1">
      <alignment horizontal="center" vertical="center"/>
    </xf>
    <xf numFmtId="164" fontId="1" fillId="8" borderId="0" xfId="0" applyNumberFormat="1" applyFont="1" applyFill="1" applyAlignment="1">
      <alignment horizontal="center" vertical="center"/>
    </xf>
    <xf numFmtId="0" fontId="1" fillId="8" borderId="0" xfId="0" applyFont="1" applyFill="1" applyAlignment="1">
      <alignment horizontal="center" vertical="center"/>
    </xf>
    <xf numFmtId="0" fontId="1" fillId="9" borderId="0" xfId="0" applyFont="1" applyFill="1" applyAlignment="1">
      <alignment horizontal="center" vertical="center"/>
    </xf>
    <xf numFmtId="164" fontId="1" fillId="10" borderId="0" xfId="0" applyNumberFormat="1" applyFont="1" applyFill="1" applyAlignment="1">
      <alignment horizontal="center" vertical="center"/>
    </xf>
    <xf numFmtId="0" fontId="1" fillId="10" borderId="0" xfId="0" applyFont="1" applyFill="1" applyAlignment="1">
      <alignment horizontal="center" vertical="center"/>
    </xf>
    <xf numFmtId="9" fontId="1" fillId="10" borderId="0" xfId="0" applyNumberFormat="1" applyFont="1" applyFill="1" applyAlignment="1">
      <alignment horizontal="center" vertical="center"/>
    </xf>
    <xf numFmtId="9" fontId="1" fillId="0" borderId="0" xfId="1" applyFont="1" applyAlignment="1">
      <alignment horizontal="center" vertical="center"/>
    </xf>
    <xf numFmtId="9" fontId="1" fillId="0" borderId="0" xfId="1" applyFont="1" applyFill="1" applyAlignment="1">
      <alignment horizontal="center" vertical="center"/>
    </xf>
    <xf numFmtId="9" fontId="1" fillId="2" borderId="0" xfId="1" applyFont="1" applyFill="1" applyAlignment="1">
      <alignment horizontal="center" vertical="center"/>
    </xf>
    <xf numFmtId="9" fontId="1" fillId="4" borderId="0" xfId="1" applyFont="1" applyFill="1" applyAlignment="1">
      <alignment horizontal="center" vertical="center"/>
    </xf>
    <xf numFmtId="9" fontId="1" fillId="7" borderId="0" xfId="1" applyFont="1" applyFill="1" applyAlignment="1">
      <alignment horizontal="center" vertical="center"/>
    </xf>
    <xf numFmtId="1" fontId="1" fillId="4" borderId="0" xfId="1" applyNumberFormat="1" applyFont="1" applyFill="1" applyAlignment="1">
      <alignment horizontal="center" vertical="center"/>
    </xf>
    <xf numFmtId="1" fontId="1" fillId="7" borderId="0" xfId="1" applyNumberFormat="1" applyFont="1" applyFill="1" applyAlignment="1">
      <alignment horizontal="center" vertical="center"/>
    </xf>
    <xf numFmtId="9" fontId="1" fillId="5" borderId="0" xfId="1" applyFont="1" applyFill="1" applyAlignment="1">
      <alignment horizontal="center" vertical="center"/>
    </xf>
    <xf numFmtId="164" fontId="3" fillId="0" borderId="0" xfId="0" applyNumberFormat="1" applyFont="1" applyAlignment="1">
      <alignment horizontal="center" vertical="center"/>
    </xf>
    <xf numFmtId="1" fontId="5" fillId="5" borderId="0" xfId="0" applyNumberFormat="1" applyFont="1" applyFill="1" applyAlignment="1">
      <alignment horizontal="center" vertical="center"/>
    </xf>
    <xf numFmtId="0" fontId="1" fillId="0" borderId="0" xfId="0" applyFont="1" applyFill="1" applyAlignment="1">
      <alignment horizontal="center" vertical="center"/>
    </xf>
    <xf numFmtId="1" fontId="1" fillId="0" borderId="0" xfId="0" applyNumberFormat="1" applyFont="1" applyFill="1" applyAlignment="1">
      <alignment horizontal="center" vertical="center"/>
    </xf>
    <xf numFmtId="164" fontId="1" fillId="0" borderId="0" xfId="0" applyNumberFormat="1" applyFont="1" applyFill="1" applyAlignment="1">
      <alignment horizontal="center" vertical="center"/>
    </xf>
    <xf numFmtId="0" fontId="1" fillId="2" borderId="0" xfId="0" applyNumberFormat="1" applyFont="1" applyFill="1" applyAlignment="1">
      <alignment horizontal="center" vertical="center"/>
    </xf>
  </cellXfs>
  <cellStyles count="2">
    <cellStyle name="Normal" xfId="0" builtinId="0"/>
    <cellStyle name="Percent" xfId="1" builtinId="5"/>
  </cellStyles>
  <dxfs count="4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ont>
        <b val="0"/>
        <i val="0"/>
        <strike val="0"/>
        <condense val="0"/>
        <extend val="0"/>
        <outline val="0"/>
        <shadow val="0"/>
        <u val="none"/>
        <vertAlign val="baseline"/>
        <sz val="10"/>
        <color rgb="FF000000"/>
        <name val="Sakkal Majalla"/>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numFmt numFmtId="1"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numFmt numFmtId="1"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numFmt numFmtId="13" formatCode="0%"/>
      <fill>
        <patternFill patternType="solid">
          <fgColor indexed="64"/>
          <bgColor theme="9"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numFmt numFmtId="13" formatCode="0%"/>
      <fill>
        <patternFill patternType="solid">
          <fgColor indexed="64"/>
          <bgColor theme="9"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numFmt numFmtId="0" formatCode="General"/>
      <fill>
        <patternFill patternType="solid">
          <fgColor indexed="64"/>
          <bgColor theme="9"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numFmt numFmtId="164" formatCode="yyyy\-mm\-dd;@"/>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numFmt numFmtId="164" formatCode="yyyy\-mm\-dd;@"/>
      <fill>
        <patternFill patternType="solid">
          <fgColor indexed="64"/>
          <bgColor theme="9"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numFmt numFmtId="164" formatCode="yyyy\-mm\-dd;@"/>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numFmt numFmtId="164" formatCode="yyyy\-mm\-dd;@"/>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numFmt numFmtId="1" formatCode="0"/>
      <fill>
        <patternFill patternType="solid">
          <fgColor indexed="64"/>
          <bgColor theme="9"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numFmt numFmtId="1" formatCode="0"/>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tint="-4.9989318521683403E-2"/>
        <name val="Sakkal Majalla"/>
        <scheme val="none"/>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tint="-4.9989318521683403E-2"/>
        <name val="Sakkal Majalla"/>
        <scheme val="none"/>
      </font>
      <numFmt numFmtId="1" formatCode="0"/>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tint="-4.9989318521683403E-2"/>
        <name val="Sakkal Majalla"/>
        <scheme val="none"/>
      </font>
      <numFmt numFmtId="1" formatCode="0"/>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Sakkal Majalla"/>
        <scheme val="none"/>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2"/>
        <color theme="0"/>
        <name val="Sakkal Majalla"/>
        <scheme val="none"/>
      </font>
      <fill>
        <patternFill patternType="solid">
          <fgColor indexed="64"/>
          <bgColor theme="4" tint="-0.499984740745262"/>
        </patternFill>
      </fill>
      <alignment horizontal="center" vertical="center" textRotation="0" wrapText="0" indent="0" justifyLastLine="0" shrinkToFit="0" readingOrder="0"/>
    </dxf>
  </dxfs>
  <tableStyles count="0" defaultTableStyle="TableStyleMedium2" defaultPivotStyle="PivotStyleLight16"/>
  <colors>
    <mruColors>
      <color rgb="FFFF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edl-\Desktop\&#1608;&#1581;&#1583;&#1577;%20&#1573;&#1583;&#1575;&#1585;&#1577;%20&#1575;&#1604;&#1576;&#1610;&#1575;&#1606;&#1575;&#1578;%20&#1608;&#1602;&#1610;&#1575;&#1587;%20&#1575;&#1604;&#1571;&#1583;&#1575;&#1569;\&#1605;&#1572;&#1588;&#1585;&#1575;&#1578;%20&#1575;&#1604;&#1571;&#1583;&#1575;&#1569;%20&#1575;&#1604;&#1585;&#1574;&#1610;&#1587;&#1610;&#1577;\&#1605;&#1572;&#1588;&#1585;&#1575;&#1578;%20&#1575;&#1604;&#1571;&#1583;&#1575;&#1569;%20&#1575;&#1604;&#1585;&#1574;&#1610;&#1587;&#1610;&#1577;%20&#1604;&#1573;&#1583;&#1575;&#1585;&#1577;%20&#1575;&#1604;&#1578;&#1593;&#1604;&#1605;%20&#1575;&#1604;&#1573;&#1604;&#1603;&#1578;&#1585;&#1608;&#1606;&#1610;%20-%20Copy%20(4).xlsx" TargetMode="External"/><Relationship Id="rId1" Type="http://schemas.openxmlformats.org/officeDocument/2006/relationships/externalLinkPath" Target="&#1605;&#1572;&#1588;&#1585;&#1575;&#1578;%20&#1575;&#1604;&#1571;&#1583;&#1575;&#1569;%20&#1575;&#1604;&#1585;&#1574;&#1610;&#1587;&#1610;&#1577;%20&#1604;&#1573;&#1583;&#1575;&#1585;&#1577;%20&#1575;&#1604;&#1578;&#1593;&#1604;&#1605;%20&#1575;&#1604;&#1573;&#1604;&#1603;&#1578;&#1585;&#1608;&#1606;&#1610;%20-%20Copy%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ster"/>
      <sheetName val="مؤشرات الأداء الرئيسية لإدارة ا"/>
    </sheetNames>
    <sheetDataSet>
      <sheetData sheetId="0"/>
      <sheetData sheetId="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BDC7A4-12B9-4FCB-8415-533E07B3C05F}" name="MasterTable" displayName="MasterTable" ref="A1:S164" totalsRowShown="0" headerRowDxfId="48">
  <autoFilter ref="A1:S164" xr:uid="{DEBDC7A4-12B9-4FCB-8415-533E07B3C05F}"/>
  <tableColumns count="19">
    <tableColumn id="1" xr3:uid="{18197ABA-6B75-47E5-B20A-B66502B7154B}" name="أهداف الجامعة" dataDxfId="47" totalsRowDxfId="46"/>
    <tableColumn id="2" xr3:uid="{56D83BA2-0613-4CC1-8409-78445962881D}" name="أهداف الإدارة" dataDxfId="45" totalsRowDxfId="44"/>
    <tableColumn id="3" xr3:uid="{DBA9CD98-F88A-44A0-AD94-289522E5E5DD}" name="أهداف الوحدة" dataDxfId="43" totalsRowDxfId="42"/>
    <tableColumn id="4" xr3:uid="{2298A2A9-714B-456D-A3A5-67F12518F1FB}" name="الوحدة" dataDxfId="41" totalsRowDxfId="40"/>
    <tableColumn id="5" xr3:uid="{EFF7A6D3-0F32-4400-90E4-64B4EA3EA449}" name="المؤشر الأساسي" dataDxfId="39" totalsRowDxfId="38"/>
    <tableColumn id="6" xr3:uid="{9CD960E0-E40A-4985-9AD4-203232DDC98F}" name="المؤشر  الأساسي المكتمل" dataDxfId="37" totalsRowDxfId="36"/>
    <tableColumn id="7" xr3:uid="{F91EF7A2-4793-4F77-9B78-56F5AD4572E2}" name="نوع المؤشر" dataDxfId="35" totalsRowDxfId="34"/>
    <tableColumn id="8" xr3:uid="{ABA0B08A-8863-48C8-ACAF-85B13A6E6593}" name="المؤشر الفرعي" dataDxfId="33" totalsRowDxfId="32"/>
    <tableColumn id="9" xr3:uid="{8BAF0323-8249-4259-9D23-924EC33157FD}" name="المؤشر الفرعي المكتمل" dataDxfId="31" totalsRowDxfId="30"/>
    <tableColumn id="10" xr3:uid="{BBF07C88-2B60-4FAE-843F-C00C0772F683}" name="المخرج" dataDxfId="29" totalsRowDxfId="28"/>
    <tableColumn id="16" xr3:uid="{C87693B0-ED9F-4C3C-A0D1-E4A2C7265835}" name="نوع القيمة" dataDxfId="27" totalsRowDxfId="26"/>
    <tableColumn id="11" xr3:uid="{43A1C7AE-87D9-483F-B579-6B6FABA4D8B8}" name="تاريخ التسليم حسب الخطة" dataDxfId="25" totalsRowDxfId="24"/>
    <tableColumn id="12" xr3:uid="{821DDE8E-CF69-4DB3-B69D-5A0431BB6AFE}" name="تاريخ التسليم الفعلي" dataDxfId="23" totalsRowDxfId="22"/>
    <tableColumn id="20" xr3:uid="{F3686511-7EA2-4AC1-A5E4-1B11FC51265E}" name="فترة التسليم" dataDxfId="21" totalsRowDxfId="20"/>
    <tableColumn id="19" xr3:uid="{F9051A0B-A828-4B14-BFCC-6B005D321D09}" name="نسبة الإنجاز" dataDxfId="19" totalsRowDxfId="18">
      <calculatedColumnFormula>IF([1]!MasterTable[[#This Row],[المؤشر الفرعي]] &gt; 0, [1]!MasterTable[[#This Row],[المؤشر الفرعي المكتمل]] / [1]!MasterTable[[#This Row],[المؤشر الفرعي]], 0)</calculatedColumnFormula>
    </tableColumn>
    <tableColumn id="13" xr3:uid="{7343363B-1BED-4251-8EFA-39D49037D771}" name="حالة المؤشر" dataDxfId="17" totalsRowDxfId="16"/>
    <tableColumn id="14" xr3:uid="{8585CB59-B006-409B-9F47-605CE81663FC}" name="احتساب عدد أيام التأخير" dataDxfId="15" totalsRowDxfId="14">
      <calculatedColumnFormula>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calculatedColumnFormula>
    </tableColumn>
    <tableColumn id="18" xr3:uid="{F3D9AD20-DC38-4BA2-B27B-BC67A48E8B8B}" name="احتساب نسبة التأخير " dataDxfId="13" totalsRowDxfId="12">
      <calculatedColumnFormula>IF([1]!MasterTable[[#This Row],[احتساب عدد أيام التأخير]] &gt; 3, [1]!MasterTable[[#This Row],[احتساب عدد أيام التأخير]] * 3.3 / 100, 0)</calculatedColumnFormula>
    </tableColumn>
    <tableColumn id="15" xr3:uid="{012730FF-8222-4545-950C-35788D082107}" name="احتساب عدد أيام التأخير في التقييم السنوي" dataDxfId="11" totalsRowDxfId="10">
      <calculatedColumnFormula>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64"/>
  <sheetViews>
    <sheetView rightToLeft="1" tabSelected="1" topLeftCell="A127" zoomScale="75" zoomScaleNormal="75" workbookViewId="0">
      <selection activeCell="B165" sqref="B165"/>
    </sheetView>
  </sheetViews>
  <sheetFormatPr defaultRowHeight="15" x14ac:dyDescent="0.25"/>
  <cols>
    <col min="1" max="1" width="44.5703125" bestFit="1" customWidth="1"/>
    <col min="2" max="2" width="52.140625" bestFit="1" customWidth="1"/>
    <col min="3" max="3" width="82.85546875" bestFit="1" customWidth="1"/>
    <col min="4" max="4" width="19.28515625" bestFit="1" customWidth="1"/>
    <col min="5" max="5" width="17.140625" bestFit="1" customWidth="1"/>
    <col min="6" max="6" width="22.7109375" bestFit="1" customWidth="1"/>
    <col min="7" max="7" width="17.5703125" customWidth="1"/>
    <col min="8" max="8" width="17.85546875" bestFit="1" customWidth="1"/>
    <col min="9" max="9" width="21.5703125" customWidth="1"/>
    <col min="10" max="10" width="50" customWidth="1"/>
    <col min="11" max="11" width="20.140625" customWidth="1"/>
    <col min="12" max="12" width="26" bestFit="1" customWidth="1"/>
    <col min="13" max="13" width="21" bestFit="1" customWidth="1"/>
    <col min="14" max="14" width="15.7109375" bestFit="1" customWidth="1"/>
    <col min="15" max="15" width="15.5703125" bestFit="1" customWidth="1"/>
    <col min="16" max="16" width="15.5703125" customWidth="1"/>
    <col min="17" max="17" width="24.85546875" style="7" bestFit="1" customWidth="1"/>
    <col min="18" max="18" width="22.7109375" bestFit="1" customWidth="1"/>
    <col min="19" max="19" width="37.85546875" style="7" bestFit="1" customWidth="1"/>
    <col min="20" max="20" width="37.85546875" bestFit="1" customWidth="1"/>
  </cols>
  <sheetData>
    <row r="1" spans="1:19" ht="18.75" x14ac:dyDescent="0.25">
      <c r="A1" s="8" t="s">
        <v>0</v>
      </c>
      <c r="B1" s="8" t="s">
        <v>1</v>
      </c>
      <c r="C1" s="8" t="s">
        <v>2</v>
      </c>
      <c r="D1" s="8" t="s">
        <v>3</v>
      </c>
      <c r="E1" s="9" t="s">
        <v>41</v>
      </c>
      <c r="F1" s="9" t="s">
        <v>42</v>
      </c>
      <c r="G1" s="8" t="s">
        <v>4</v>
      </c>
      <c r="H1" s="9" t="s">
        <v>43</v>
      </c>
      <c r="I1" s="9" t="s">
        <v>44</v>
      </c>
      <c r="J1" s="8" t="s">
        <v>5</v>
      </c>
      <c r="K1" s="9" t="s">
        <v>49</v>
      </c>
      <c r="L1" s="10" t="s">
        <v>6</v>
      </c>
      <c r="M1" s="10" t="s">
        <v>7</v>
      </c>
      <c r="N1" s="10" t="s">
        <v>8</v>
      </c>
      <c r="O1" s="11" t="s">
        <v>9</v>
      </c>
      <c r="P1" s="11" t="s">
        <v>50</v>
      </c>
      <c r="Q1" s="9" t="s">
        <v>46</v>
      </c>
      <c r="R1" s="11" t="s">
        <v>47</v>
      </c>
      <c r="S1" s="9" t="s">
        <v>45</v>
      </c>
    </row>
    <row r="2" spans="1:19" x14ac:dyDescent="0.25">
      <c r="A2" s="12" t="s">
        <v>52</v>
      </c>
      <c r="B2" s="12" t="s">
        <v>53</v>
      </c>
      <c r="C2" s="12" t="s">
        <v>54</v>
      </c>
      <c r="D2" s="12" t="s">
        <v>55</v>
      </c>
      <c r="E2" s="13">
        <v>1</v>
      </c>
      <c r="F2" s="4">
        <v>1</v>
      </c>
      <c r="G2" s="12" t="s">
        <v>10</v>
      </c>
      <c r="H2" s="13">
        <v>1</v>
      </c>
      <c r="I2" s="4">
        <v>1</v>
      </c>
      <c r="J2" s="18" t="s">
        <v>56</v>
      </c>
      <c r="K2" s="2" t="s">
        <v>48</v>
      </c>
      <c r="L2" s="3">
        <v>45694</v>
      </c>
      <c r="M2" s="5">
        <v>45672</v>
      </c>
      <c r="N2" s="18" t="s">
        <v>11</v>
      </c>
      <c r="O2" s="19">
        <f>IF([1]!MasterTable[[#This Row],[المؤشر الفرعي]] &gt; 0, [1]!MasterTable[[#This Row],[المؤشر الفرعي المكتمل]] / [1]!MasterTable[[#This Row],[المؤشر الفرعي]], 0)</f>
        <v>1</v>
      </c>
      <c r="P2" s="19" t="s">
        <v>51</v>
      </c>
      <c r="Q2"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2" s="6">
        <f>IF([1]!MasterTable[[#This Row],[احتساب عدد أيام التأخير]] &gt; 3, [1]!MasterTable[[#This Row],[احتساب عدد أيام التأخير]] * 3.3 / 100, 0)</f>
        <v>0</v>
      </c>
      <c r="S2"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3" spans="1:19" x14ac:dyDescent="0.25">
      <c r="A3" s="1" t="s">
        <v>52</v>
      </c>
      <c r="B3" s="1" t="s">
        <v>53</v>
      </c>
      <c r="C3" s="14" t="s">
        <v>54</v>
      </c>
      <c r="D3" s="14" t="s">
        <v>55</v>
      </c>
      <c r="E3" s="13">
        <v>1</v>
      </c>
      <c r="F3" s="4">
        <v>1</v>
      </c>
      <c r="G3" s="12" t="s">
        <v>10</v>
      </c>
      <c r="H3" s="13">
        <v>1</v>
      </c>
      <c r="I3" s="4">
        <v>1</v>
      </c>
      <c r="J3" s="18" t="s">
        <v>57</v>
      </c>
      <c r="K3" s="2" t="s">
        <v>48</v>
      </c>
      <c r="L3" s="3">
        <v>45694</v>
      </c>
      <c r="M3" s="5">
        <v>45672</v>
      </c>
      <c r="N3" s="18" t="s">
        <v>11</v>
      </c>
      <c r="O3" s="19">
        <f>IF([1]!MasterTable[[#This Row],[المؤشر الفرعي]] &gt; 0, [1]!MasterTable[[#This Row],[المؤشر الفرعي المكتمل]] / [1]!MasterTable[[#This Row],[المؤشر الفرعي]], 0)</f>
        <v>1</v>
      </c>
      <c r="P3" s="19" t="s">
        <v>51</v>
      </c>
      <c r="Q3"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3" s="6">
        <f>IF([1]!MasterTable[[#This Row],[احتساب عدد أيام التأخير]] &gt; 3, [1]!MasterTable[[#This Row],[احتساب عدد أيام التأخير]] * 3.3 / 100, 0)</f>
        <v>0</v>
      </c>
      <c r="S3"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4" spans="1:19" x14ac:dyDescent="0.25">
      <c r="A4" s="1" t="s">
        <v>52</v>
      </c>
      <c r="B4" s="1" t="s">
        <v>53</v>
      </c>
      <c r="C4" s="14" t="s">
        <v>54</v>
      </c>
      <c r="D4" s="14" t="s">
        <v>55</v>
      </c>
      <c r="E4" s="16">
        <v>0</v>
      </c>
      <c r="F4" s="16">
        <v>0</v>
      </c>
      <c r="G4" s="17" t="s">
        <v>12</v>
      </c>
      <c r="H4" s="15">
        <v>1</v>
      </c>
      <c r="I4" s="4">
        <v>1</v>
      </c>
      <c r="J4" s="17" t="s">
        <v>12</v>
      </c>
      <c r="K4" s="2" t="s">
        <v>48</v>
      </c>
      <c r="L4" s="3">
        <v>45790</v>
      </c>
      <c r="M4" s="5">
        <v>45761</v>
      </c>
      <c r="N4" s="18" t="s">
        <v>13</v>
      </c>
      <c r="O4" s="19">
        <f>IF([1]!MasterTable[[#This Row],[المؤشر الفرعي]] &gt; 0, [1]!MasterTable[[#This Row],[المؤشر الفرعي المكتمل]] / [1]!MasterTable[[#This Row],[المؤشر الفرعي]], 0)</f>
        <v>1</v>
      </c>
      <c r="P4" s="19" t="s">
        <v>51</v>
      </c>
      <c r="Q4"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4" s="6">
        <f>IF([1]!MasterTable[[#This Row],[احتساب عدد أيام التأخير]] &gt; 3, [1]!MasterTable[[#This Row],[احتساب عدد أيام التأخير]] * 3.3 / 100, 0)</f>
        <v>0</v>
      </c>
      <c r="S4"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5" spans="1:19" x14ac:dyDescent="0.25">
      <c r="A5" s="1" t="s">
        <v>52</v>
      </c>
      <c r="B5" s="1" t="s">
        <v>53</v>
      </c>
      <c r="C5" s="12" t="s">
        <v>58</v>
      </c>
      <c r="D5" s="12" t="s">
        <v>55</v>
      </c>
      <c r="E5" s="13">
        <v>1</v>
      </c>
      <c r="F5" s="4">
        <v>1</v>
      </c>
      <c r="G5" s="12" t="s">
        <v>10</v>
      </c>
      <c r="H5" s="13">
        <v>1</v>
      </c>
      <c r="I5" s="4">
        <v>1</v>
      </c>
      <c r="J5" s="18" t="s">
        <v>59</v>
      </c>
      <c r="K5" s="2" t="s">
        <v>48</v>
      </c>
      <c r="L5" s="3">
        <v>45694</v>
      </c>
      <c r="M5" s="5">
        <v>45672</v>
      </c>
      <c r="N5" s="18" t="s">
        <v>11</v>
      </c>
      <c r="O5" s="19">
        <f>IF([1]!MasterTable[[#This Row],[المؤشر الفرعي]] &gt; 0, [1]!MasterTable[[#This Row],[المؤشر الفرعي المكتمل]] / [1]!MasterTable[[#This Row],[المؤشر الفرعي]], 0)</f>
        <v>1</v>
      </c>
      <c r="P5" s="19" t="s">
        <v>51</v>
      </c>
      <c r="Q5"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5" s="6">
        <f>IF([1]!MasterTable[[#This Row],[احتساب عدد أيام التأخير]] &gt; 3, [1]!MasterTable[[#This Row],[احتساب عدد أيام التأخير]] * 3.3 / 100, 0)</f>
        <v>0</v>
      </c>
      <c r="S5"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6" spans="1:19" x14ac:dyDescent="0.25">
      <c r="A6" s="1" t="s">
        <v>52</v>
      </c>
      <c r="B6" s="1" t="s">
        <v>53</v>
      </c>
      <c r="C6" s="14" t="s">
        <v>58</v>
      </c>
      <c r="D6" s="14" t="s">
        <v>55</v>
      </c>
      <c r="E6" s="16">
        <v>0</v>
      </c>
      <c r="F6" s="16">
        <v>0</v>
      </c>
      <c r="G6" s="17" t="s">
        <v>12</v>
      </c>
      <c r="H6" s="2">
        <v>1</v>
      </c>
      <c r="I6" s="4">
        <v>1</v>
      </c>
      <c r="J6" s="17" t="s">
        <v>12</v>
      </c>
      <c r="K6" s="2" t="s">
        <v>48</v>
      </c>
      <c r="L6" s="3">
        <v>45790</v>
      </c>
      <c r="M6" s="5">
        <v>45761</v>
      </c>
      <c r="N6" s="18" t="s">
        <v>13</v>
      </c>
      <c r="O6" s="19">
        <f>IF([1]!MasterTable[[#This Row],[المؤشر الفرعي]] &gt; 0, [1]!MasterTable[[#This Row],[المؤشر الفرعي المكتمل]] / [1]!MasterTable[[#This Row],[المؤشر الفرعي]], 0)</f>
        <v>1</v>
      </c>
      <c r="P6" s="19" t="s">
        <v>51</v>
      </c>
      <c r="Q6"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6" s="6">
        <f>IF([1]!MasterTable[[#This Row],[احتساب عدد أيام التأخير]] &gt; 3, [1]!MasterTable[[#This Row],[احتساب عدد أيام التأخير]] * 3.3 / 100, 0)</f>
        <v>0</v>
      </c>
      <c r="S6"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7" spans="1:19" x14ac:dyDescent="0.25">
      <c r="A7" s="1" t="s">
        <v>52</v>
      </c>
      <c r="B7" s="1" t="s">
        <v>53</v>
      </c>
      <c r="C7" s="14" t="s">
        <v>58</v>
      </c>
      <c r="D7" s="14" t="s">
        <v>55</v>
      </c>
      <c r="E7" s="13">
        <v>1</v>
      </c>
      <c r="F7" s="4">
        <v>1</v>
      </c>
      <c r="G7" s="12" t="s">
        <v>10</v>
      </c>
      <c r="H7" s="13">
        <v>1</v>
      </c>
      <c r="I7" s="4">
        <v>1</v>
      </c>
      <c r="J7" s="18" t="s">
        <v>60</v>
      </c>
      <c r="K7" s="2" t="s">
        <v>48</v>
      </c>
      <c r="L7" s="3">
        <v>45694</v>
      </c>
      <c r="M7" s="5">
        <v>45670</v>
      </c>
      <c r="N7" s="18" t="s">
        <v>11</v>
      </c>
      <c r="O7" s="19">
        <f>IF([1]!MasterTable[[#This Row],[المؤشر الفرعي]] &gt; 0, [1]!MasterTable[[#This Row],[المؤشر الفرعي المكتمل]] / [1]!MasterTable[[#This Row],[المؤشر الفرعي]], 0)</f>
        <v>1</v>
      </c>
      <c r="P7" s="19" t="s">
        <v>51</v>
      </c>
      <c r="Q7"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7" s="6">
        <f>IF([1]!MasterTable[[#This Row],[احتساب عدد أيام التأخير]] &gt; 3, [1]!MasterTable[[#This Row],[احتساب عدد أيام التأخير]] * 3.3 / 100, 0)</f>
        <v>0</v>
      </c>
      <c r="S7"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8" spans="1:19" x14ac:dyDescent="0.25">
      <c r="A8" s="1" t="s">
        <v>52</v>
      </c>
      <c r="B8" s="1" t="s">
        <v>53</v>
      </c>
      <c r="C8" s="14" t="s">
        <v>58</v>
      </c>
      <c r="D8" s="14" t="s">
        <v>55</v>
      </c>
      <c r="E8" s="16">
        <v>0</v>
      </c>
      <c r="F8" s="16">
        <v>0</v>
      </c>
      <c r="G8" s="17" t="s">
        <v>12</v>
      </c>
      <c r="H8" s="2">
        <v>1</v>
      </c>
      <c r="I8" s="4">
        <v>1</v>
      </c>
      <c r="J8" s="17" t="s">
        <v>12</v>
      </c>
      <c r="K8" s="2" t="s">
        <v>48</v>
      </c>
      <c r="L8" s="3">
        <v>45790</v>
      </c>
      <c r="M8" s="5">
        <v>45761</v>
      </c>
      <c r="N8" s="18" t="s">
        <v>13</v>
      </c>
      <c r="O8" s="19">
        <f>IF([1]!MasterTable[[#This Row],[المؤشر الفرعي]] &gt; 0, [1]!MasterTable[[#This Row],[المؤشر الفرعي المكتمل]] / [1]!MasterTable[[#This Row],[المؤشر الفرعي]], 0)</f>
        <v>1</v>
      </c>
      <c r="P8" s="19" t="s">
        <v>51</v>
      </c>
      <c r="Q8"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8" s="6">
        <f>IF([1]!MasterTable[[#This Row],[احتساب عدد أيام التأخير]] &gt; 3, [1]!MasterTable[[#This Row],[احتساب عدد أيام التأخير]] * 3.3 / 100, 0)</f>
        <v>0</v>
      </c>
      <c r="S8"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9" spans="1:19" x14ac:dyDescent="0.25">
      <c r="A9" s="1" t="s">
        <v>52</v>
      </c>
      <c r="B9" s="1" t="s">
        <v>53</v>
      </c>
      <c r="C9" s="14" t="s">
        <v>58</v>
      </c>
      <c r="D9" s="14" t="s">
        <v>55</v>
      </c>
      <c r="E9" s="13">
        <v>1</v>
      </c>
      <c r="F9" s="4">
        <v>1</v>
      </c>
      <c r="G9" s="12" t="s">
        <v>10</v>
      </c>
      <c r="H9" s="13">
        <v>1</v>
      </c>
      <c r="I9" s="4">
        <v>1</v>
      </c>
      <c r="J9" s="18" t="s">
        <v>61</v>
      </c>
      <c r="K9" s="2" t="s">
        <v>48</v>
      </c>
      <c r="L9" s="3">
        <v>45694</v>
      </c>
      <c r="M9" s="5">
        <v>45670</v>
      </c>
      <c r="N9" s="18" t="s">
        <v>11</v>
      </c>
      <c r="O9" s="19">
        <f>IF([1]!MasterTable[[#This Row],[المؤشر الفرعي]] &gt; 0, [1]!MasterTable[[#This Row],[المؤشر الفرعي المكتمل]] / [1]!MasterTable[[#This Row],[المؤشر الفرعي]], 0)</f>
        <v>1</v>
      </c>
      <c r="P9" s="19" t="s">
        <v>51</v>
      </c>
      <c r="Q9"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9" s="6">
        <f>IF([1]!MasterTable[[#This Row],[احتساب عدد أيام التأخير]] &gt; 3, [1]!MasterTable[[#This Row],[احتساب عدد أيام التأخير]] * 3.3 / 100, 0)</f>
        <v>0</v>
      </c>
      <c r="S9"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0" spans="1:19" x14ac:dyDescent="0.25">
      <c r="A10" s="1" t="s">
        <v>52</v>
      </c>
      <c r="B10" s="1" t="s">
        <v>53</v>
      </c>
      <c r="C10" s="14" t="s">
        <v>58</v>
      </c>
      <c r="D10" s="14" t="s">
        <v>55</v>
      </c>
      <c r="E10" s="16">
        <v>0</v>
      </c>
      <c r="F10" s="16">
        <v>0</v>
      </c>
      <c r="G10" s="17" t="s">
        <v>12</v>
      </c>
      <c r="H10" s="2">
        <v>1</v>
      </c>
      <c r="I10" s="4">
        <v>1</v>
      </c>
      <c r="J10" s="17" t="s">
        <v>12</v>
      </c>
      <c r="K10" s="2" t="s">
        <v>48</v>
      </c>
      <c r="L10" s="3">
        <v>45790</v>
      </c>
      <c r="M10" s="5">
        <v>45761</v>
      </c>
      <c r="N10" s="18" t="s">
        <v>13</v>
      </c>
      <c r="O10" s="19">
        <f>IF([1]!MasterTable[[#This Row],[المؤشر الفرعي]] &gt; 0, [1]!MasterTable[[#This Row],[المؤشر الفرعي المكتمل]] / [1]!MasterTable[[#This Row],[المؤشر الفرعي]], 0)</f>
        <v>1</v>
      </c>
      <c r="P10" s="19" t="s">
        <v>51</v>
      </c>
      <c r="Q10"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0" s="6">
        <f>IF([1]!MasterTable[[#This Row],[احتساب عدد أيام التأخير]] &gt; 3, [1]!MasterTable[[#This Row],[احتساب عدد أيام التأخير]] * 3.3 / 100, 0)</f>
        <v>0</v>
      </c>
      <c r="S10"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1" spans="1:19" x14ac:dyDescent="0.25">
      <c r="A11" s="1" t="s">
        <v>52</v>
      </c>
      <c r="B11" s="1" t="s">
        <v>53</v>
      </c>
      <c r="C11" s="14" t="s">
        <v>58</v>
      </c>
      <c r="D11" s="14" t="s">
        <v>55</v>
      </c>
      <c r="E11" s="13">
        <v>1</v>
      </c>
      <c r="F11" s="4">
        <v>1</v>
      </c>
      <c r="G11" s="12" t="s">
        <v>10</v>
      </c>
      <c r="H11" s="13">
        <v>1</v>
      </c>
      <c r="I11" s="4">
        <v>1</v>
      </c>
      <c r="J11" s="18" t="s">
        <v>62</v>
      </c>
      <c r="K11" s="2" t="s">
        <v>48</v>
      </c>
      <c r="L11" s="3">
        <v>45694</v>
      </c>
      <c r="M11" s="5">
        <v>45670</v>
      </c>
      <c r="N11" s="18" t="s">
        <v>11</v>
      </c>
      <c r="O11" s="19">
        <f>IF([1]!MasterTable[[#This Row],[المؤشر الفرعي]] &gt; 0, [1]!MasterTable[[#This Row],[المؤشر الفرعي المكتمل]] / [1]!MasterTable[[#This Row],[المؤشر الفرعي]], 0)</f>
        <v>1</v>
      </c>
      <c r="P11" s="19" t="s">
        <v>51</v>
      </c>
      <c r="Q11"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1" s="6">
        <f>IF([1]!MasterTable[[#This Row],[احتساب عدد أيام التأخير]] &gt; 3, [1]!MasterTable[[#This Row],[احتساب عدد أيام التأخير]] * 3.3 / 100, 0)</f>
        <v>0</v>
      </c>
      <c r="S11"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2" spans="1:19" x14ac:dyDescent="0.25">
      <c r="A12" s="1" t="s">
        <v>52</v>
      </c>
      <c r="B12" s="1" t="s">
        <v>53</v>
      </c>
      <c r="C12" s="14" t="s">
        <v>58</v>
      </c>
      <c r="D12" s="14" t="s">
        <v>55</v>
      </c>
      <c r="E12" s="13">
        <v>1</v>
      </c>
      <c r="F12" s="4">
        <v>1</v>
      </c>
      <c r="G12" s="12" t="s">
        <v>10</v>
      </c>
      <c r="H12" s="13">
        <v>1</v>
      </c>
      <c r="I12" s="4">
        <v>1</v>
      </c>
      <c r="J12" s="18" t="s">
        <v>63</v>
      </c>
      <c r="K12" s="2" t="s">
        <v>48</v>
      </c>
      <c r="L12" s="3">
        <v>45694</v>
      </c>
      <c r="M12" s="5">
        <v>45672</v>
      </c>
      <c r="N12" s="18" t="s">
        <v>11</v>
      </c>
      <c r="O12" s="19">
        <f>IF([1]!MasterTable[[#This Row],[المؤشر الفرعي]] &gt; 0, [1]!MasterTable[[#This Row],[المؤشر الفرعي المكتمل]] / [1]!MasterTable[[#This Row],[المؤشر الفرعي]], 0)</f>
        <v>1</v>
      </c>
      <c r="P12" s="19" t="s">
        <v>51</v>
      </c>
      <c r="Q12"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2" s="6">
        <f>IF([1]!MasterTable[[#This Row],[احتساب عدد أيام التأخير]] &gt; 3, [1]!MasterTable[[#This Row],[احتساب عدد أيام التأخير]] * 3.3 / 100, 0)</f>
        <v>0</v>
      </c>
      <c r="S12"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3" spans="1:19" x14ac:dyDescent="0.25">
      <c r="A13" s="1" t="s">
        <v>52</v>
      </c>
      <c r="B13" s="1" t="s">
        <v>53</v>
      </c>
      <c r="C13" s="14" t="s">
        <v>58</v>
      </c>
      <c r="D13" s="14" t="s">
        <v>55</v>
      </c>
      <c r="E13" s="13">
        <v>1</v>
      </c>
      <c r="F13" s="4">
        <v>1</v>
      </c>
      <c r="G13" s="12" t="s">
        <v>10</v>
      </c>
      <c r="H13" s="13">
        <v>1</v>
      </c>
      <c r="I13" s="4">
        <v>1</v>
      </c>
      <c r="J13" s="12" t="s">
        <v>64</v>
      </c>
      <c r="K13" s="2" t="s">
        <v>48</v>
      </c>
      <c r="L13" s="3">
        <v>45608</v>
      </c>
      <c r="M13" s="5">
        <v>45629</v>
      </c>
      <c r="N13" s="18" t="s">
        <v>14</v>
      </c>
      <c r="O13" s="19">
        <f>IF([1]!MasterTable[[#This Row],[المؤشر الفرعي]] &gt; 0, [1]!MasterTable[[#This Row],[المؤشر الفرعي المكتمل]] / [1]!MasterTable[[#This Row],[المؤشر الفرعي]], 0)</f>
        <v>1</v>
      </c>
      <c r="P13" s="19" t="s">
        <v>51</v>
      </c>
      <c r="Q13"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16</v>
      </c>
      <c r="R13" s="6">
        <f>IF([1]!MasterTable[[#This Row],[احتساب عدد أيام التأخير]] &gt; 3, [1]!MasterTable[[#This Row],[احتساب عدد أيام التأخير]] * 3.3 / 100, 0)</f>
        <v>0.52800000000000002</v>
      </c>
      <c r="S13"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16</v>
      </c>
    </row>
    <row r="14" spans="1:19" x14ac:dyDescent="0.25">
      <c r="A14" s="1" t="s">
        <v>52</v>
      </c>
      <c r="B14" s="1" t="s">
        <v>53</v>
      </c>
      <c r="C14" s="14" t="s">
        <v>58</v>
      </c>
      <c r="D14" s="14" t="s">
        <v>55</v>
      </c>
      <c r="E14" s="16">
        <v>0</v>
      </c>
      <c r="F14" s="16">
        <v>0</v>
      </c>
      <c r="G14" s="17" t="s">
        <v>12</v>
      </c>
      <c r="H14" s="15">
        <v>1</v>
      </c>
      <c r="I14" s="4">
        <v>1</v>
      </c>
      <c r="J14" s="17" t="s">
        <v>12</v>
      </c>
      <c r="K14" s="2" t="s">
        <v>48</v>
      </c>
      <c r="L14" s="3">
        <v>45694</v>
      </c>
      <c r="M14" s="5">
        <v>45669</v>
      </c>
      <c r="N14" s="18" t="s">
        <v>11</v>
      </c>
      <c r="O14" s="19">
        <f>IF([1]!MasterTable[[#This Row],[المؤشر الفرعي]] &gt; 0, [1]!MasterTable[[#This Row],[المؤشر الفرعي المكتمل]] / [1]!MasterTable[[#This Row],[المؤشر الفرعي]], 0)</f>
        <v>1</v>
      </c>
      <c r="P14" s="19" t="s">
        <v>51</v>
      </c>
      <c r="Q14"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4" s="6">
        <f>IF([1]!MasterTable[[#This Row],[احتساب عدد أيام التأخير]] &gt; 3, [1]!MasterTable[[#This Row],[احتساب عدد أيام التأخير]] * 3.3 / 100, 0)</f>
        <v>0</v>
      </c>
      <c r="S14"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5" spans="1:19" x14ac:dyDescent="0.25">
      <c r="A15" s="1" t="s">
        <v>52</v>
      </c>
      <c r="B15" s="1" t="s">
        <v>53</v>
      </c>
      <c r="C15" s="14" t="s">
        <v>58</v>
      </c>
      <c r="D15" s="14" t="s">
        <v>55</v>
      </c>
      <c r="E15" s="16">
        <v>0</v>
      </c>
      <c r="F15" s="16">
        <v>0</v>
      </c>
      <c r="G15" s="17" t="s">
        <v>12</v>
      </c>
      <c r="H15" s="15">
        <v>1</v>
      </c>
      <c r="I15" s="20">
        <v>0</v>
      </c>
      <c r="J15" s="21" t="s">
        <v>12</v>
      </c>
      <c r="K15" s="2" t="s">
        <v>48</v>
      </c>
      <c r="L15" s="22">
        <v>45694</v>
      </c>
      <c r="M15" s="3"/>
      <c r="N15" s="23" t="s">
        <v>11</v>
      </c>
      <c r="O15" s="6">
        <f>IF([1]!MasterTable[[#This Row],[المؤشر الفرعي]] &gt; 0, [1]!MasterTable[[#This Row],[المؤشر الفرعي المكتمل]] / [1]!MasterTable[[#This Row],[المؤشر الفرعي]], 0)</f>
        <v>0</v>
      </c>
      <c r="P15" s="6"/>
      <c r="Q15"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5" s="6">
        <f>IF([1]!MasterTable[[#This Row],[احتساب عدد أيام التأخير]] &gt; 3, [1]!MasterTable[[#This Row],[احتساب عدد أيام التأخير]] * 3.3 / 100, 0)</f>
        <v>0</v>
      </c>
      <c r="S15"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6" spans="1:19" x14ac:dyDescent="0.25">
      <c r="A16" s="1" t="s">
        <v>52</v>
      </c>
      <c r="B16" s="1" t="s">
        <v>53</v>
      </c>
      <c r="C16" s="14" t="s">
        <v>58</v>
      </c>
      <c r="D16" s="14" t="s">
        <v>55</v>
      </c>
      <c r="E16" s="16">
        <v>0</v>
      </c>
      <c r="F16" s="16">
        <v>0</v>
      </c>
      <c r="G16" s="17" t="s">
        <v>12</v>
      </c>
      <c r="H16" s="15">
        <v>1</v>
      </c>
      <c r="I16" s="4">
        <v>1</v>
      </c>
      <c r="J16" s="17" t="s">
        <v>12</v>
      </c>
      <c r="K16" s="2" t="s">
        <v>48</v>
      </c>
      <c r="L16" s="3">
        <v>45790</v>
      </c>
      <c r="M16" s="5">
        <v>45761</v>
      </c>
      <c r="N16" s="18" t="s">
        <v>13</v>
      </c>
      <c r="O16" s="19">
        <f>IF([1]!MasterTable[[#This Row],[المؤشر الفرعي]] &gt; 0, [1]!MasterTable[[#This Row],[المؤشر الفرعي المكتمل]] / [1]!MasterTable[[#This Row],[المؤشر الفرعي]], 0)</f>
        <v>1</v>
      </c>
      <c r="P16" s="19" t="s">
        <v>51</v>
      </c>
      <c r="Q16"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6" s="6">
        <f>IF([1]!MasterTable[[#This Row],[احتساب عدد أيام التأخير]] &gt; 3, [1]!MasterTable[[#This Row],[احتساب عدد أيام التأخير]] * 3.3 / 100, 0)</f>
        <v>0</v>
      </c>
      <c r="S16"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7" spans="1:19" x14ac:dyDescent="0.25">
      <c r="A17" s="1" t="s">
        <v>52</v>
      </c>
      <c r="B17" s="1" t="s">
        <v>53</v>
      </c>
      <c r="C17" s="14" t="s">
        <v>58</v>
      </c>
      <c r="D17" s="14" t="s">
        <v>55</v>
      </c>
      <c r="E17" s="13">
        <v>1</v>
      </c>
      <c r="F17" s="4">
        <v>1</v>
      </c>
      <c r="G17" s="12" t="s">
        <v>10</v>
      </c>
      <c r="H17" s="13">
        <v>1</v>
      </c>
      <c r="I17" s="4">
        <v>1</v>
      </c>
      <c r="J17" s="12" t="s">
        <v>65</v>
      </c>
      <c r="K17" s="2" t="s">
        <v>48</v>
      </c>
      <c r="L17" s="3">
        <v>45608</v>
      </c>
      <c r="M17" s="5">
        <v>45629</v>
      </c>
      <c r="N17" s="18" t="s">
        <v>14</v>
      </c>
      <c r="O17" s="19">
        <f>IF([1]!MasterTable[[#This Row],[المؤشر الفرعي]] &gt; 0, [1]!MasterTable[[#This Row],[المؤشر الفرعي المكتمل]] / [1]!MasterTable[[#This Row],[المؤشر الفرعي]], 0)</f>
        <v>1</v>
      </c>
      <c r="P17" s="19" t="s">
        <v>51</v>
      </c>
      <c r="Q17"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16</v>
      </c>
      <c r="R17" s="6">
        <f>IF([1]!MasterTable[[#This Row],[احتساب عدد أيام التأخير]] &gt; 3, [1]!MasterTable[[#This Row],[احتساب عدد أيام التأخير]] * 3.3 / 100, 0)</f>
        <v>0.52800000000000002</v>
      </c>
      <c r="S17"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16</v>
      </c>
    </row>
    <row r="18" spans="1:19" x14ac:dyDescent="0.25">
      <c r="A18" s="1" t="s">
        <v>52</v>
      </c>
      <c r="B18" s="1" t="s">
        <v>53</v>
      </c>
      <c r="C18" s="14" t="s">
        <v>58</v>
      </c>
      <c r="D18" s="14" t="s">
        <v>55</v>
      </c>
      <c r="E18" s="16">
        <v>0</v>
      </c>
      <c r="F18" s="16">
        <v>0</v>
      </c>
      <c r="G18" s="17" t="s">
        <v>12</v>
      </c>
      <c r="H18" s="15">
        <v>1</v>
      </c>
      <c r="I18" s="4">
        <v>1</v>
      </c>
      <c r="J18" s="17" t="s">
        <v>12</v>
      </c>
      <c r="K18" s="2" t="s">
        <v>48</v>
      </c>
      <c r="L18" s="3">
        <v>45694</v>
      </c>
      <c r="M18" s="5">
        <v>45670</v>
      </c>
      <c r="N18" s="18" t="s">
        <v>11</v>
      </c>
      <c r="O18" s="19">
        <f>IF([1]!MasterTable[[#This Row],[المؤشر الفرعي]] &gt; 0, [1]!MasterTable[[#This Row],[المؤشر الفرعي المكتمل]] / [1]!MasterTable[[#This Row],[المؤشر الفرعي]], 0)</f>
        <v>1</v>
      </c>
      <c r="P18" s="19" t="s">
        <v>51</v>
      </c>
      <c r="Q18"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8" s="6">
        <f>IF([1]!MasterTable[[#This Row],[احتساب عدد أيام التأخير]] &gt; 3, [1]!MasterTable[[#This Row],[احتساب عدد أيام التأخير]] * 3.3 / 100, 0)</f>
        <v>0</v>
      </c>
      <c r="S18"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9" spans="1:19" x14ac:dyDescent="0.25">
      <c r="A19" s="1" t="s">
        <v>52</v>
      </c>
      <c r="B19" s="1" t="s">
        <v>53</v>
      </c>
      <c r="C19" s="14" t="s">
        <v>58</v>
      </c>
      <c r="D19" s="14" t="s">
        <v>55</v>
      </c>
      <c r="E19" s="16">
        <v>0</v>
      </c>
      <c r="F19" s="16">
        <v>0</v>
      </c>
      <c r="G19" s="17" t="s">
        <v>12</v>
      </c>
      <c r="H19" s="15">
        <v>1</v>
      </c>
      <c r="I19" s="20">
        <v>0</v>
      </c>
      <c r="J19" s="21" t="s">
        <v>12</v>
      </c>
      <c r="K19" s="2" t="s">
        <v>48</v>
      </c>
      <c r="L19" s="22">
        <v>45694</v>
      </c>
      <c r="M19" s="3"/>
      <c r="N19" s="23" t="s">
        <v>11</v>
      </c>
      <c r="O19" s="6">
        <f>IF([1]!MasterTable[[#This Row],[المؤشر الفرعي]] &gt; 0, [1]!MasterTable[[#This Row],[المؤشر الفرعي المكتمل]] / [1]!MasterTable[[#This Row],[المؤشر الفرعي]], 0)</f>
        <v>0</v>
      </c>
      <c r="P19" s="6"/>
      <c r="Q19"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9" s="6">
        <f>IF([1]!MasterTable[[#This Row],[احتساب عدد أيام التأخير]] &gt; 3, [1]!MasterTable[[#This Row],[احتساب عدد أيام التأخير]] * 3.3 / 100, 0)</f>
        <v>0</v>
      </c>
      <c r="S19"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20" spans="1:19" x14ac:dyDescent="0.25">
      <c r="A20" s="1" t="s">
        <v>52</v>
      </c>
      <c r="B20" s="1" t="s">
        <v>53</v>
      </c>
      <c r="C20" s="14" t="s">
        <v>58</v>
      </c>
      <c r="D20" s="14" t="s">
        <v>55</v>
      </c>
      <c r="E20" s="16">
        <v>0</v>
      </c>
      <c r="F20" s="16">
        <v>0</v>
      </c>
      <c r="G20" s="17" t="s">
        <v>12</v>
      </c>
      <c r="H20" s="15">
        <v>1</v>
      </c>
      <c r="I20" s="4">
        <v>1</v>
      </c>
      <c r="J20" s="17" t="s">
        <v>12</v>
      </c>
      <c r="K20" s="2" t="s">
        <v>48</v>
      </c>
      <c r="L20" s="3">
        <v>45790</v>
      </c>
      <c r="M20" s="5">
        <v>45761</v>
      </c>
      <c r="N20" s="18" t="s">
        <v>13</v>
      </c>
      <c r="O20" s="19">
        <f>IF([1]!MasterTable[[#This Row],[المؤشر الفرعي]] &gt; 0, [1]!MasterTable[[#This Row],[المؤشر الفرعي المكتمل]] / [1]!MasterTable[[#This Row],[المؤشر الفرعي]], 0)</f>
        <v>1</v>
      </c>
      <c r="P20" s="19" t="s">
        <v>51</v>
      </c>
      <c r="Q20"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20" s="6">
        <f>IF([1]!MasterTable[[#This Row],[احتساب عدد أيام التأخير]] &gt; 3, [1]!MasterTable[[#This Row],[احتساب عدد أيام التأخير]] * 3.3 / 100, 0)</f>
        <v>0</v>
      </c>
      <c r="S20"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21" spans="1:19" x14ac:dyDescent="0.25">
      <c r="A21" s="1" t="s">
        <v>52</v>
      </c>
      <c r="B21" s="1" t="s">
        <v>53</v>
      </c>
      <c r="C21" s="14" t="s">
        <v>58</v>
      </c>
      <c r="D21" s="14" t="s">
        <v>55</v>
      </c>
      <c r="E21" s="13">
        <v>1</v>
      </c>
      <c r="F21" s="4">
        <v>1</v>
      </c>
      <c r="G21" s="12" t="s">
        <v>66</v>
      </c>
      <c r="H21" s="13">
        <v>1</v>
      </c>
      <c r="I21" s="4">
        <v>1</v>
      </c>
      <c r="J21" s="12" t="s">
        <v>67</v>
      </c>
      <c r="K21" s="2" t="s">
        <v>48</v>
      </c>
      <c r="L21" s="3">
        <v>45608</v>
      </c>
      <c r="M21" s="5">
        <v>45630</v>
      </c>
      <c r="N21" s="18" t="s">
        <v>14</v>
      </c>
      <c r="O21" s="19">
        <f>IF([1]!MasterTable[[#This Row],[المؤشر الفرعي]] &gt; 0, [1]!MasterTable[[#This Row],[المؤشر الفرعي المكتمل]] / [1]!MasterTable[[#This Row],[المؤشر الفرعي]], 0)</f>
        <v>1</v>
      </c>
      <c r="P21" s="19" t="s">
        <v>51</v>
      </c>
      <c r="Q21"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17</v>
      </c>
      <c r="R21" s="6">
        <f>IF([1]!MasterTable[[#This Row],[احتساب عدد أيام التأخير]] &gt; 3, [1]!MasterTable[[#This Row],[احتساب عدد أيام التأخير]] * 3.3 / 100, 0)</f>
        <v>0.56099999999999994</v>
      </c>
      <c r="S21"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17</v>
      </c>
    </row>
    <row r="22" spans="1:19" x14ac:dyDescent="0.25">
      <c r="A22" s="1" t="s">
        <v>52</v>
      </c>
      <c r="B22" s="1" t="s">
        <v>53</v>
      </c>
      <c r="C22" s="14" t="s">
        <v>58</v>
      </c>
      <c r="D22" s="14" t="s">
        <v>55</v>
      </c>
      <c r="E22" s="16">
        <v>0</v>
      </c>
      <c r="F22" s="16">
        <v>0</v>
      </c>
      <c r="G22" s="17" t="s">
        <v>12</v>
      </c>
      <c r="H22" s="15">
        <v>1</v>
      </c>
      <c r="I22" s="4">
        <v>1</v>
      </c>
      <c r="J22" s="17" t="s">
        <v>12</v>
      </c>
      <c r="K22" s="2" t="s">
        <v>48</v>
      </c>
      <c r="L22" s="3">
        <v>45694</v>
      </c>
      <c r="M22" s="5">
        <v>45761</v>
      </c>
      <c r="N22" s="18" t="s">
        <v>11</v>
      </c>
      <c r="O22" s="19">
        <f>IF([1]!MasterTable[[#This Row],[المؤشر الفرعي]] &gt; 0, [1]!MasterTable[[#This Row],[المؤشر الفرعي المكتمل]] / [1]!MasterTable[[#This Row],[المؤشر الفرعي]], 0)</f>
        <v>1</v>
      </c>
      <c r="P22" s="19" t="s">
        <v>51</v>
      </c>
      <c r="Q22"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48</v>
      </c>
      <c r="R22" s="6">
        <f>IF([1]!MasterTable[[#This Row],[احتساب عدد أيام التأخير]] &gt; 3, [1]!MasterTable[[#This Row],[احتساب عدد أيام التأخير]] * 3.3 / 100, 0)</f>
        <v>1.5839999999999999</v>
      </c>
      <c r="S22"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48</v>
      </c>
    </row>
    <row r="23" spans="1:19" x14ac:dyDescent="0.25">
      <c r="A23" s="1" t="s">
        <v>52</v>
      </c>
      <c r="B23" s="1" t="s">
        <v>53</v>
      </c>
      <c r="C23" s="14" t="s">
        <v>58</v>
      </c>
      <c r="D23" s="14" t="s">
        <v>55</v>
      </c>
      <c r="E23" s="16">
        <v>0</v>
      </c>
      <c r="F23" s="16">
        <v>0</v>
      </c>
      <c r="G23" s="17" t="s">
        <v>12</v>
      </c>
      <c r="H23" s="15">
        <v>1</v>
      </c>
      <c r="I23" s="20">
        <v>0</v>
      </c>
      <c r="J23" s="21" t="s">
        <v>12</v>
      </c>
      <c r="K23" s="2" t="s">
        <v>48</v>
      </c>
      <c r="L23" s="22">
        <v>45694</v>
      </c>
      <c r="M23" s="3"/>
      <c r="N23" s="23" t="s">
        <v>11</v>
      </c>
      <c r="O23" s="6">
        <f>IF([1]!MasterTable[[#This Row],[المؤشر الفرعي]] &gt; 0, [1]!MasterTable[[#This Row],[المؤشر الفرعي المكتمل]] / [1]!MasterTable[[#This Row],[المؤشر الفرعي]], 0)</f>
        <v>0</v>
      </c>
      <c r="P23" s="6"/>
      <c r="Q23"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23" s="6">
        <f>IF([1]!MasterTable[[#This Row],[احتساب عدد أيام التأخير]] &gt; 3, [1]!MasterTable[[#This Row],[احتساب عدد أيام التأخير]] * 3.3 / 100, 0)</f>
        <v>0</v>
      </c>
      <c r="S23"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24" spans="1:19" x14ac:dyDescent="0.25">
      <c r="A24" s="1" t="s">
        <v>52</v>
      </c>
      <c r="B24" s="1" t="s">
        <v>53</v>
      </c>
      <c r="C24" s="14" t="s">
        <v>58</v>
      </c>
      <c r="D24" s="14" t="s">
        <v>55</v>
      </c>
      <c r="E24" s="16">
        <v>0</v>
      </c>
      <c r="F24" s="16">
        <v>0</v>
      </c>
      <c r="G24" s="17" t="s">
        <v>12</v>
      </c>
      <c r="H24" s="15">
        <v>1</v>
      </c>
      <c r="I24" s="4">
        <v>1</v>
      </c>
      <c r="J24" s="17" t="s">
        <v>12</v>
      </c>
      <c r="K24" s="2" t="s">
        <v>48</v>
      </c>
      <c r="L24" s="3">
        <v>45790</v>
      </c>
      <c r="M24" s="5">
        <v>45761</v>
      </c>
      <c r="N24" s="18" t="s">
        <v>13</v>
      </c>
      <c r="O24" s="19">
        <f>IF([1]!MasterTable[[#This Row],[المؤشر الفرعي]] &gt; 0, [1]!MasterTable[[#This Row],[المؤشر الفرعي المكتمل]] / [1]!MasterTable[[#This Row],[المؤشر الفرعي]], 0)</f>
        <v>1</v>
      </c>
      <c r="P24" s="19" t="s">
        <v>51</v>
      </c>
      <c r="Q24"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24" s="6">
        <f>IF([1]!MasterTable[[#This Row],[احتساب عدد أيام التأخير]] &gt; 3, [1]!MasterTable[[#This Row],[احتساب عدد أيام التأخير]] * 3.3 / 100, 0)</f>
        <v>0</v>
      </c>
      <c r="S24"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25" spans="1:19" x14ac:dyDescent="0.25">
      <c r="A25" s="1" t="s">
        <v>52</v>
      </c>
      <c r="B25" s="1" t="s">
        <v>53</v>
      </c>
      <c r="C25" s="12" t="s">
        <v>68</v>
      </c>
      <c r="D25" s="12" t="s">
        <v>55</v>
      </c>
      <c r="E25" s="13">
        <v>1</v>
      </c>
      <c r="F25" s="4">
        <v>1</v>
      </c>
      <c r="G25" s="12" t="s">
        <v>10</v>
      </c>
      <c r="H25" s="13">
        <v>1</v>
      </c>
      <c r="I25" s="4">
        <v>1</v>
      </c>
      <c r="J25" s="12" t="s">
        <v>69</v>
      </c>
      <c r="K25" s="2" t="s">
        <v>48</v>
      </c>
      <c r="L25" s="3">
        <v>45608</v>
      </c>
      <c r="M25" s="5">
        <v>45629</v>
      </c>
      <c r="N25" s="18" t="s">
        <v>14</v>
      </c>
      <c r="O25" s="19">
        <f>IF([1]!MasterTable[[#This Row],[المؤشر الفرعي]] &gt; 0, [1]!MasterTable[[#This Row],[المؤشر الفرعي المكتمل]] / [1]!MasterTable[[#This Row],[المؤشر الفرعي]], 0)</f>
        <v>1</v>
      </c>
      <c r="P25" s="19" t="s">
        <v>51</v>
      </c>
      <c r="Q25"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16</v>
      </c>
      <c r="R25" s="6">
        <f>IF([1]!MasterTable[[#This Row],[احتساب عدد أيام التأخير]] &gt; 3, [1]!MasterTable[[#This Row],[احتساب عدد أيام التأخير]] * 3.3 / 100, 0)</f>
        <v>0.52800000000000002</v>
      </c>
      <c r="S25"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16</v>
      </c>
    </row>
    <row r="26" spans="1:19" x14ac:dyDescent="0.25">
      <c r="A26" s="1" t="s">
        <v>52</v>
      </c>
      <c r="B26" s="1" t="s">
        <v>53</v>
      </c>
      <c r="C26" s="14" t="s">
        <v>68</v>
      </c>
      <c r="D26" s="14" t="s">
        <v>55</v>
      </c>
      <c r="E26" s="16">
        <v>0</v>
      </c>
      <c r="F26" s="16">
        <v>0</v>
      </c>
      <c r="G26" s="17" t="s">
        <v>12</v>
      </c>
      <c r="H26" s="15">
        <v>1</v>
      </c>
      <c r="I26" s="4">
        <v>1</v>
      </c>
      <c r="J26" s="17" t="s">
        <v>12</v>
      </c>
      <c r="K26" s="2" t="s">
        <v>48</v>
      </c>
      <c r="L26" s="3">
        <v>45694</v>
      </c>
      <c r="M26" s="5">
        <v>45672</v>
      </c>
      <c r="N26" s="18" t="s">
        <v>11</v>
      </c>
      <c r="O26" s="19">
        <f>IF([1]!MasterTable[[#This Row],[المؤشر الفرعي]] &gt; 0, [1]!MasterTable[[#This Row],[المؤشر الفرعي المكتمل]] / [1]!MasterTable[[#This Row],[المؤشر الفرعي]], 0)</f>
        <v>1</v>
      </c>
      <c r="P26" s="19" t="s">
        <v>51</v>
      </c>
      <c r="Q26"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26" s="6">
        <f>IF([1]!MasterTable[[#This Row],[احتساب عدد أيام التأخير]] &gt; 3, [1]!MasterTable[[#This Row],[احتساب عدد أيام التأخير]] * 3.3 / 100, 0)</f>
        <v>0</v>
      </c>
      <c r="S26"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27" spans="1:19" x14ac:dyDescent="0.25">
      <c r="A27" s="1" t="s">
        <v>52</v>
      </c>
      <c r="B27" s="1" t="s">
        <v>53</v>
      </c>
      <c r="C27" s="14" t="s">
        <v>68</v>
      </c>
      <c r="D27" s="14" t="s">
        <v>55</v>
      </c>
      <c r="E27" s="16">
        <v>0</v>
      </c>
      <c r="F27" s="16">
        <v>0</v>
      </c>
      <c r="G27" s="17" t="s">
        <v>12</v>
      </c>
      <c r="H27" s="15">
        <v>1</v>
      </c>
      <c r="I27" s="20">
        <v>0</v>
      </c>
      <c r="J27" s="21" t="s">
        <v>12</v>
      </c>
      <c r="K27" s="2" t="s">
        <v>48</v>
      </c>
      <c r="L27" s="22">
        <v>45694</v>
      </c>
      <c r="M27" s="3"/>
      <c r="N27" s="23" t="s">
        <v>11</v>
      </c>
      <c r="O27" s="6">
        <f>IF([1]!MasterTable[[#This Row],[المؤشر الفرعي]] &gt; 0, [1]!MasterTable[[#This Row],[المؤشر الفرعي المكتمل]] / [1]!MasterTable[[#This Row],[المؤشر الفرعي]], 0)</f>
        <v>0</v>
      </c>
      <c r="P27" s="6"/>
      <c r="Q27"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27" s="6">
        <f>IF([1]!MasterTable[[#This Row],[احتساب عدد أيام التأخير]] &gt; 3, [1]!MasterTable[[#This Row],[احتساب عدد أيام التأخير]] * 3.3 / 100, 0)</f>
        <v>0</v>
      </c>
      <c r="S27"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28" spans="1:19" x14ac:dyDescent="0.25">
      <c r="A28" s="1" t="s">
        <v>52</v>
      </c>
      <c r="B28" s="1" t="s">
        <v>53</v>
      </c>
      <c r="C28" s="14" t="s">
        <v>68</v>
      </c>
      <c r="D28" s="14" t="s">
        <v>55</v>
      </c>
      <c r="E28" s="16">
        <v>0</v>
      </c>
      <c r="F28" s="16">
        <v>0</v>
      </c>
      <c r="G28" s="17" t="s">
        <v>12</v>
      </c>
      <c r="H28" s="15">
        <v>1</v>
      </c>
      <c r="I28" s="4">
        <v>1</v>
      </c>
      <c r="J28" s="17" t="s">
        <v>12</v>
      </c>
      <c r="K28" s="2" t="s">
        <v>48</v>
      </c>
      <c r="L28" s="3">
        <v>45790</v>
      </c>
      <c r="M28" s="5">
        <v>45761</v>
      </c>
      <c r="N28" s="18" t="s">
        <v>13</v>
      </c>
      <c r="O28" s="19">
        <f>IF([1]!MasterTable[[#This Row],[المؤشر الفرعي]] &gt; 0, [1]!MasterTable[[#This Row],[المؤشر الفرعي المكتمل]] / [1]!MasterTable[[#This Row],[المؤشر الفرعي]], 0)</f>
        <v>1</v>
      </c>
      <c r="P28" s="19" t="s">
        <v>51</v>
      </c>
      <c r="Q28"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28" s="6">
        <f>IF([1]!MasterTable[[#This Row],[احتساب عدد أيام التأخير]] &gt; 3, [1]!MasterTable[[#This Row],[احتساب عدد أيام التأخير]] * 3.3 / 100, 0)</f>
        <v>0</v>
      </c>
      <c r="S28"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29" spans="1:19" x14ac:dyDescent="0.25">
      <c r="A29" s="1" t="s">
        <v>52</v>
      </c>
      <c r="B29" s="1" t="s">
        <v>53</v>
      </c>
      <c r="C29" s="14" t="s">
        <v>68</v>
      </c>
      <c r="D29" s="14" t="s">
        <v>55</v>
      </c>
      <c r="E29" s="13">
        <v>1</v>
      </c>
      <c r="F29" s="4">
        <v>1</v>
      </c>
      <c r="G29" s="12" t="s">
        <v>10</v>
      </c>
      <c r="H29" s="13">
        <v>1</v>
      </c>
      <c r="I29" s="4">
        <v>1</v>
      </c>
      <c r="J29" s="12" t="s">
        <v>70</v>
      </c>
      <c r="K29" s="2" t="s">
        <v>48</v>
      </c>
      <c r="L29" s="3">
        <v>45608</v>
      </c>
      <c r="M29" s="5">
        <v>45629</v>
      </c>
      <c r="N29" s="18" t="s">
        <v>14</v>
      </c>
      <c r="O29" s="19">
        <f>IF([1]!MasterTable[[#This Row],[المؤشر الفرعي]] &gt; 0, [1]!MasterTable[[#This Row],[المؤشر الفرعي المكتمل]] / [1]!MasterTable[[#This Row],[المؤشر الفرعي]], 0)</f>
        <v>1</v>
      </c>
      <c r="P29" s="19" t="s">
        <v>51</v>
      </c>
      <c r="Q29"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16</v>
      </c>
      <c r="R29" s="6">
        <f>IF([1]!MasterTable[[#This Row],[احتساب عدد أيام التأخير]] &gt; 3, [1]!MasterTable[[#This Row],[احتساب عدد أيام التأخير]] * 3.3 / 100, 0)</f>
        <v>0.52800000000000002</v>
      </c>
      <c r="S29"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16</v>
      </c>
    </row>
    <row r="30" spans="1:19" x14ac:dyDescent="0.25">
      <c r="A30" s="1" t="s">
        <v>52</v>
      </c>
      <c r="B30" s="1" t="s">
        <v>53</v>
      </c>
      <c r="C30" s="14" t="s">
        <v>68</v>
      </c>
      <c r="D30" s="14" t="s">
        <v>55</v>
      </c>
      <c r="E30" s="16">
        <v>0</v>
      </c>
      <c r="F30" s="16">
        <v>0</v>
      </c>
      <c r="G30" s="17" t="s">
        <v>12</v>
      </c>
      <c r="H30" s="15">
        <v>1</v>
      </c>
      <c r="I30" s="20">
        <v>0</v>
      </c>
      <c r="J30" s="17" t="s">
        <v>12</v>
      </c>
      <c r="K30" s="2" t="s">
        <v>48</v>
      </c>
      <c r="L30" s="3">
        <v>45790</v>
      </c>
      <c r="M30" s="3"/>
      <c r="N30" s="1" t="s">
        <v>13</v>
      </c>
      <c r="O30" s="6">
        <f>IF([1]!MasterTable[[#This Row],[المؤشر الفرعي]] &gt; 0, [1]!MasterTable[[#This Row],[المؤشر الفرعي المكتمل]] / [1]!MasterTable[[#This Row],[المؤشر الفرعي]], 0)</f>
        <v>0</v>
      </c>
      <c r="P30" s="6"/>
      <c r="Q30"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30" s="6">
        <f>IF([1]!MasterTable[[#This Row],[احتساب عدد أيام التأخير]] &gt; 3, [1]!MasterTable[[#This Row],[احتساب عدد أيام التأخير]] * 3.3 / 100, 0)</f>
        <v>0</v>
      </c>
      <c r="S30"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31" spans="1:19" x14ac:dyDescent="0.25">
      <c r="A31" s="1" t="s">
        <v>52</v>
      </c>
      <c r="B31" s="1" t="s">
        <v>53</v>
      </c>
      <c r="C31" s="14" t="s">
        <v>68</v>
      </c>
      <c r="D31" s="14" t="s">
        <v>55</v>
      </c>
      <c r="E31" s="16">
        <v>0</v>
      </c>
      <c r="F31" s="16">
        <v>0</v>
      </c>
      <c r="G31" s="17" t="s">
        <v>12</v>
      </c>
      <c r="H31" s="15">
        <v>1</v>
      </c>
      <c r="I31" s="20">
        <v>0</v>
      </c>
      <c r="J31" s="17" t="s">
        <v>12</v>
      </c>
      <c r="K31" s="2" t="s">
        <v>48</v>
      </c>
      <c r="L31" s="3">
        <v>45790</v>
      </c>
      <c r="M31" s="3"/>
      <c r="N31" s="1" t="s">
        <v>13</v>
      </c>
      <c r="O31" s="6">
        <f>IF([1]!MasterTable[[#This Row],[المؤشر الفرعي]] &gt; 0, [1]!MasterTable[[#This Row],[المؤشر الفرعي المكتمل]] / [1]!MasterTable[[#This Row],[المؤشر الفرعي]], 0)</f>
        <v>0</v>
      </c>
      <c r="P31" s="6"/>
      <c r="Q31"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31" s="6">
        <f>IF([1]!MasterTable[[#This Row],[احتساب عدد أيام التأخير]] &gt; 3, [1]!MasterTable[[#This Row],[احتساب عدد أيام التأخير]] * 3.3 / 100, 0)</f>
        <v>0</v>
      </c>
      <c r="S31"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32" spans="1:19" x14ac:dyDescent="0.25">
      <c r="A32" s="1" t="s">
        <v>52</v>
      </c>
      <c r="B32" s="1" t="s">
        <v>53</v>
      </c>
      <c r="C32" s="14" t="s">
        <v>68</v>
      </c>
      <c r="D32" s="14" t="s">
        <v>55</v>
      </c>
      <c r="E32" s="16">
        <v>0</v>
      </c>
      <c r="F32" s="16">
        <v>0</v>
      </c>
      <c r="G32" s="17" t="s">
        <v>12</v>
      </c>
      <c r="H32" s="15">
        <v>1</v>
      </c>
      <c r="I32" s="20">
        <v>0</v>
      </c>
      <c r="J32" s="17" t="s">
        <v>12</v>
      </c>
      <c r="K32" s="2" t="s">
        <v>48</v>
      </c>
      <c r="L32" s="3">
        <v>45790</v>
      </c>
      <c r="M32" s="3"/>
      <c r="N32" s="1" t="s">
        <v>13</v>
      </c>
      <c r="O32" s="6">
        <f>IF([1]!MasterTable[[#This Row],[المؤشر الفرعي]] &gt; 0, [1]!MasterTable[[#This Row],[المؤشر الفرعي المكتمل]] / [1]!MasterTable[[#This Row],[المؤشر الفرعي]], 0)</f>
        <v>0</v>
      </c>
      <c r="P32" s="6"/>
      <c r="Q32"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32" s="6">
        <f>IF([1]!MasterTable[[#This Row],[احتساب عدد أيام التأخير]] &gt; 3, [1]!MasterTable[[#This Row],[احتساب عدد أيام التأخير]] * 3.3 / 100, 0)</f>
        <v>0</v>
      </c>
      <c r="S32"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33" spans="1:19" x14ac:dyDescent="0.25">
      <c r="A33" s="1" t="s">
        <v>52</v>
      </c>
      <c r="B33" s="1" t="s">
        <v>53</v>
      </c>
      <c r="C33" s="14" t="s">
        <v>68</v>
      </c>
      <c r="D33" s="14" t="s">
        <v>55</v>
      </c>
      <c r="E33" s="13">
        <v>1</v>
      </c>
      <c r="F33" s="4">
        <v>1</v>
      </c>
      <c r="G33" s="12" t="s">
        <v>66</v>
      </c>
      <c r="H33" s="13">
        <v>1</v>
      </c>
      <c r="I33" s="4">
        <v>1</v>
      </c>
      <c r="J33" s="12" t="s">
        <v>71</v>
      </c>
      <c r="K33" s="2" t="s">
        <v>48</v>
      </c>
      <c r="L33" s="3">
        <v>45790</v>
      </c>
      <c r="M33" s="5">
        <v>45761</v>
      </c>
      <c r="N33" s="18" t="s">
        <v>13</v>
      </c>
      <c r="O33" s="19">
        <f>IF([1]!MasterTable[[#This Row],[المؤشر الفرعي]] &gt; 0, [1]!MasterTable[[#This Row],[المؤشر الفرعي المكتمل]] / [1]!MasterTable[[#This Row],[المؤشر الفرعي]], 0)</f>
        <v>1</v>
      </c>
      <c r="P33" s="19" t="s">
        <v>51</v>
      </c>
      <c r="Q33"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33" s="6">
        <f>IF([1]!MasterTable[[#This Row],[احتساب عدد أيام التأخير]] &gt; 3, [1]!MasterTable[[#This Row],[احتساب عدد أيام التأخير]] * 3.3 / 100, 0)</f>
        <v>0</v>
      </c>
      <c r="S33"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34" spans="1:19" x14ac:dyDescent="0.25">
      <c r="A34" s="1" t="s">
        <v>52</v>
      </c>
      <c r="B34" s="1" t="s">
        <v>53</v>
      </c>
      <c r="C34" s="14" t="s">
        <v>68</v>
      </c>
      <c r="D34" s="14" t="s">
        <v>55</v>
      </c>
      <c r="E34" s="16">
        <v>0</v>
      </c>
      <c r="F34" s="16">
        <v>0</v>
      </c>
      <c r="G34" s="17" t="s">
        <v>12</v>
      </c>
      <c r="H34" s="15">
        <v>1</v>
      </c>
      <c r="I34" s="20">
        <v>0</v>
      </c>
      <c r="J34" s="17" t="s">
        <v>12</v>
      </c>
      <c r="K34" s="2" t="s">
        <v>48</v>
      </c>
      <c r="L34" s="3">
        <v>45790</v>
      </c>
      <c r="M34" s="3"/>
      <c r="N34" s="1" t="s">
        <v>13</v>
      </c>
      <c r="O34" s="6">
        <f>IF([1]!MasterTable[[#This Row],[المؤشر الفرعي]] &gt; 0, [1]!MasterTable[[#This Row],[المؤشر الفرعي المكتمل]] / [1]!MasterTable[[#This Row],[المؤشر الفرعي]], 0)</f>
        <v>0</v>
      </c>
      <c r="P34" s="6"/>
      <c r="Q34"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34" s="6">
        <f>IF([1]!MasterTable[[#This Row],[احتساب عدد أيام التأخير]] &gt; 3, [1]!MasterTable[[#This Row],[احتساب عدد أيام التأخير]] * 3.3 / 100, 0)</f>
        <v>0</v>
      </c>
      <c r="S34"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35" spans="1:19" x14ac:dyDescent="0.25">
      <c r="A35" s="1" t="s">
        <v>52</v>
      </c>
      <c r="B35" s="1" t="s">
        <v>53</v>
      </c>
      <c r="C35" s="14" t="s">
        <v>68</v>
      </c>
      <c r="D35" s="14" t="s">
        <v>55</v>
      </c>
      <c r="E35" s="16">
        <v>0</v>
      </c>
      <c r="F35" s="16">
        <v>0</v>
      </c>
      <c r="G35" s="17" t="s">
        <v>12</v>
      </c>
      <c r="H35" s="15">
        <v>1</v>
      </c>
      <c r="I35" s="20">
        <v>0</v>
      </c>
      <c r="J35" s="17" t="s">
        <v>12</v>
      </c>
      <c r="K35" s="2" t="s">
        <v>48</v>
      </c>
      <c r="L35" s="3">
        <v>45790</v>
      </c>
      <c r="M35" s="3"/>
      <c r="N35" s="1" t="s">
        <v>13</v>
      </c>
      <c r="O35" s="6">
        <f>IF([1]!MasterTable[[#This Row],[المؤشر الفرعي]] &gt; 0, [1]!MasterTable[[#This Row],[المؤشر الفرعي المكتمل]] / [1]!MasterTable[[#This Row],[المؤشر الفرعي]], 0)</f>
        <v>0</v>
      </c>
      <c r="P35" s="6"/>
      <c r="Q35"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35" s="6">
        <f>IF([1]!MasterTable[[#This Row],[احتساب عدد أيام التأخير]] &gt; 3, [1]!MasterTable[[#This Row],[احتساب عدد أيام التأخير]] * 3.3 / 100, 0)</f>
        <v>0</v>
      </c>
      <c r="S35"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36" spans="1:19" x14ac:dyDescent="0.25">
      <c r="A36" s="1" t="s">
        <v>52</v>
      </c>
      <c r="B36" s="1" t="s">
        <v>53</v>
      </c>
      <c r="C36" s="14" t="s">
        <v>68</v>
      </c>
      <c r="D36" s="14" t="s">
        <v>55</v>
      </c>
      <c r="E36" s="13">
        <v>1</v>
      </c>
      <c r="F36" s="4">
        <v>1</v>
      </c>
      <c r="G36" s="12" t="s">
        <v>10</v>
      </c>
      <c r="H36" s="13">
        <v>1</v>
      </c>
      <c r="I36" s="4">
        <v>1</v>
      </c>
      <c r="J36" s="12" t="s">
        <v>72</v>
      </c>
      <c r="K36" s="2" t="s">
        <v>48</v>
      </c>
      <c r="L36" s="3">
        <v>45790</v>
      </c>
      <c r="M36" s="5">
        <v>45761</v>
      </c>
      <c r="N36" s="18" t="s">
        <v>13</v>
      </c>
      <c r="O36" s="19">
        <f>IF([1]!MasterTable[[#This Row],[المؤشر الفرعي]] &gt; 0, [1]!MasterTable[[#This Row],[المؤشر الفرعي المكتمل]] / [1]!MasterTable[[#This Row],[المؤشر الفرعي]], 0)</f>
        <v>1</v>
      </c>
      <c r="P36" s="19" t="s">
        <v>51</v>
      </c>
      <c r="Q36"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36" s="6">
        <f>IF([1]!MasterTable[[#This Row],[احتساب عدد أيام التأخير]] &gt; 3, [1]!MasterTable[[#This Row],[احتساب عدد أيام التأخير]] * 3.3 / 100, 0)</f>
        <v>0</v>
      </c>
      <c r="S36"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37" spans="1:19" x14ac:dyDescent="0.25">
      <c r="A37" s="1" t="s">
        <v>52</v>
      </c>
      <c r="B37" s="1" t="s">
        <v>53</v>
      </c>
      <c r="C37" s="14" t="s">
        <v>68</v>
      </c>
      <c r="D37" s="14" t="s">
        <v>55</v>
      </c>
      <c r="E37" s="16">
        <v>0</v>
      </c>
      <c r="F37" s="16">
        <v>0</v>
      </c>
      <c r="G37" s="17" t="s">
        <v>12</v>
      </c>
      <c r="H37" s="15">
        <v>1</v>
      </c>
      <c r="I37" s="20">
        <v>0</v>
      </c>
      <c r="J37" s="17" t="s">
        <v>12</v>
      </c>
      <c r="K37" s="2" t="s">
        <v>48</v>
      </c>
      <c r="L37" s="3">
        <v>45790</v>
      </c>
      <c r="M37" s="3"/>
      <c r="N37" s="1" t="s">
        <v>13</v>
      </c>
      <c r="O37" s="6">
        <f>IF([1]!MasterTable[[#This Row],[المؤشر الفرعي]] &gt; 0, [1]!MasterTable[[#This Row],[المؤشر الفرعي المكتمل]] / [1]!MasterTable[[#This Row],[المؤشر الفرعي]], 0)</f>
        <v>0</v>
      </c>
      <c r="P37" s="6"/>
      <c r="Q37"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37" s="6">
        <f>IF([1]!MasterTable[[#This Row],[احتساب عدد أيام التأخير]] &gt; 3, [1]!MasterTable[[#This Row],[احتساب عدد أيام التأخير]] * 3.3 / 100, 0)</f>
        <v>0</v>
      </c>
      <c r="S37"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38" spans="1:19" x14ac:dyDescent="0.25">
      <c r="A38" s="1" t="s">
        <v>52</v>
      </c>
      <c r="B38" s="1" t="s">
        <v>53</v>
      </c>
      <c r="C38" s="14" t="s">
        <v>68</v>
      </c>
      <c r="D38" s="14" t="s">
        <v>55</v>
      </c>
      <c r="E38" s="16">
        <v>0</v>
      </c>
      <c r="F38" s="16">
        <v>0</v>
      </c>
      <c r="G38" s="17" t="s">
        <v>12</v>
      </c>
      <c r="H38" s="15">
        <v>1</v>
      </c>
      <c r="I38" s="20">
        <v>0</v>
      </c>
      <c r="J38" s="17" t="s">
        <v>12</v>
      </c>
      <c r="K38" s="2" t="s">
        <v>48</v>
      </c>
      <c r="L38" s="3">
        <v>45790</v>
      </c>
      <c r="M38" s="3"/>
      <c r="N38" s="1" t="s">
        <v>13</v>
      </c>
      <c r="O38" s="6">
        <f>IF([1]!MasterTable[[#This Row],[المؤشر الفرعي]] &gt; 0, [1]!MasterTable[[#This Row],[المؤشر الفرعي المكتمل]] / [1]!MasterTable[[#This Row],[المؤشر الفرعي]], 0)</f>
        <v>0</v>
      </c>
      <c r="P38" s="6"/>
      <c r="Q38"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38" s="6">
        <f>IF([1]!MasterTable[[#This Row],[احتساب عدد أيام التأخير]] &gt; 3, [1]!MasterTable[[#This Row],[احتساب عدد أيام التأخير]] * 3.3 / 100, 0)</f>
        <v>0</v>
      </c>
      <c r="S38"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39" spans="1:19" x14ac:dyDescent="0.25">
      <c r="A39" s="1" t="s">
        <v>52</v>
      </c>
      <c r="B39" s="1" t="s">
        <v>53</v>
      </c>
      <c r="C39" s="14" t="s">
        <v>68</v>
      </c>
      <c r="D39" s="14" t="s">
        <v>55</v>
      </c>
      <c r="E39" s="16">
        <v>0</v>
      </c>
      <c r="F39" s="16">
        <v>0</v>
      </c>
      <c r="G39" s="17" t="s">
        <v>12</v>
      </c>
      <c r="H39" s="15">
        <v>1</v>
      </c>
      <c r="I39" s="20">
        <v>0</v>
      </c>
      <c r="J39" s="17" t="s">
        <v>12</v>
      </c>
      <c r="K39" s="2" t="s">
        <v>48</v>
      </c>
      <c r="L39" s="3">
        <v>45790</v>
      </c>
      <c r="M39" s="3"/>
      <c r="N39" s="1" t="s">
        <v>13</v>
      </c>
      <c r="O39" s="6">
        <f>IF([1]!MasterTable[[#This Row],[المؤشر الفرعي]] &gt; 0, [1]!MasterTable[[#This Row],[المؤشر الفرعي المكتمل]] / [1]!MasterTable[[#This Row],[المؤشر الفرعي]], 0)</f>
        <v>0</v>
      </c>
      <c r="P39" s="6"/>
      <c r="Q39"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39" s="6">
        <f>IF([1]!MasterTable[[#This Row],[احتساب عدد أيام التأخير]] &gt; 3, [1]!MasterTable[[#This Row],[احتساب عدد أيام التأخير]] * 3.3 / 100, 0)</f>
        <v>0</v>
      </c>
      <c r="S39"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40" spans="1:19" x14ac:dyDescent="0.25">
      <c r="A40" s="1" t="s">
        <v>52</v>
      </c>
      <c r="B40" s="1" t="s">
        <v>53</v>
      </c>
      <c r="C40" s="14" t="s">
        <v>68</v>
      </c>
      <c r="D40" s="14" t="s">
        <v>55</v>
      </c>
      <c r="E40" s="13">
        <v>1</v>
      </c>
      <c r="F40" s="20">
        <v>0</v>
      </c>
      <c r="G40" s="12" t="s">
        <v>10</v>
      </c>
      <c r="H40" s="13">
        <v>1</v>
      </c>
      <c r="I40" s="20">
        <v>0</v>
      </c>
      <c r="J40" s="12" t="s">
        <v>73</v>
      </c>
      <c r="K40" s="2" t="s">
        <v>48</v>
      </c>
      <c r="L40" s="3">
        <v>45790</v>
      </c>
      <c r="M40" s="3"/>
      <c r="N40" s="1" t="s">
        <v>13</v>
      </c>
      <c r="O40" s="6">
        <f>IF([1]!MasterTable[[#This Row],[المؤشر الفرعي]] &gt; 0, [1]!MasterTable[[#This Row],[المؤشر الفرعي المكتمل]] / [1]!MasterTable[[#This Row],[المؤشر الفرعي]], 0)</f>
        <v>0</v>
      </c>
      <c r="P40" s="6"/>
      <c r="Q40"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40" s="6">
        <f>IF([1]!MasterTable[[#This Row],[احتساب عدد أيام التأخير]] &gt; 3, [1]!MasterTable[[#This Row],[احتساب عدد أيام التأخير]] * 3.3 / 100, 0)</f>
        <v>0</v>
      </c>
      <c r="S40"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41" spans="1:19" x14ac:dyDescent="0.25">
      <c r="A41" s="1" t="s">
        <v>52</v>
      </c>
      <c r="B41" s="1" t="s">
        <v>53</v>
      </c>
      <c r="C41" s="14" t="s">
        <v>68</v>
      </c>
      <c r="D41" s="14" t="s">
        <v>55</v>
      </c>
      <c r="E41" s="16">
        <v>0</v>
      </c>
      <c r="F41" s="16">
        <v>0</v>
      </c>
      <c r="G41" s="17" t="s">
        <v>12</v>
      </c>
      <c r="H41" s="15">
        <v>1</v>
      </c>
      <c r="I41" s="20">
        <v>0</v>
      </c>
      <c r="J41" s="17" t="s">
        <v>12</v>
      </c>
      <c r="K41" s="2" t="s">
        <v>48</v>
      </c>
      <c r="L41" s="3">
        <v>45790</v>
      </c>
      <c r="M41" s="3"/>
      <c r="N41" s="1" t="s">
        <v>13</v>
      </c>
      <c r="O41" s="6">
        <f>IF([1]!MasterTable[[#This Row],[المؤشر الفرعي]] &gt; 0, [1]!MasterTable[[#This Row],[المؤشر الفرعي المكتمل]] / [1]!MasterTable[[#This Row],[المؤشر الفرعي]], 0)</f>
        <v>0</v>
      </c>
      <c r="P41" s="6"/>
      <c r="Q41"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41" s="6">
        <f>IF([1]!MasterTable[[#This Row],[احتساب عدد أيام التأخير]] &gt; 3, [1]!MasterTable[[#This Row],[احتساب عدد أيام التأخير]] * 3.3 / 100, 0)</f>
        <v>0</v>
      </c>
      <c r="S41"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42" spans="1:19" x14ac:dyDescent="0.25">
      <c r="A42" s="1" t="s">
        <v>52</v>
      </c>
      <c r="B42" s="1" t="s">
        <v>53</v>
      </c>
      <c r="C42" s="14" t="s">
        <v>68</v>
      </c>
      <c r="D42" s="14" t="s">
        <v>55</v>
      </c>
      <c r="E42" s="16">
        <v>0</v>
      </c>
      <c r="F42" s="16">
        <v>0</v>
      </c>
      <c r="G42" s="17" t="s">
        <v>12</v>
      </c>
      <c r="H42" s="15">
        <v>1</v>
      </c>
      <c r="I42" s="20">
        <v>0</v>
      </c>
      <c r="J42" s="17" t="s">
        <v>12</v>
      </c>
      <c r="K42" s="2" t="s">
        <v>48</v>
      </c>
      <c r="L42" s="3">
        <v>45790</v>
      </c>
      <c r="M42" s="3"/>
      <c r="N42" s="1" t="s">
        <v>13</v>
      </c>
      <c r="O42" s="6">
        <f>IF([1]!MasterTable[[#This Row],[المؤشر الفرعي]] &gt; 0, [1]!MasterTable[[#This Row],[المؤشر الفرعي المكتمل]] / [1]!MasterTable[[#This Row],[المؤشر الفرعي]], 0)</f>
        <v>0</v>
      </c>
      <c r="P42" s="6"/>
      <c r="Q42"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42" s="6">
        <f>IF([1]!MasterTable[[#This Row],[احتساب عدد أيام التأخير]] &gt; 3, [1]!MasterTable[[#This Row],[احتساب عدد أيام التأخير]] * 3.3 / 100, 0)</f>
        <v>0</v>
      </c>
      <c r="S42"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43" spans="1:19" x14ac:dyDescent="0.25">
      <c r="A43" s="1" t="s">
        <v>52</v>
      </c>
      <c r="B43" s="1" t="s">
        <v>53</v>
      </c>
      <c r="C43" s="14" t="s">
        <v>68</v>
      </c>
      <c r="D43" s="14" t="s">
        <v>55</v>
      </c>
      <c r="E43" s="16">
        <v>0</v>
      </c>
      <c r="F43" s="16">
        <v>0</v>
      </c>
      <c r="G43" s="17" t="s">
        <v>12</v>
      </c>
      <c r="H43" s="15">
        <v>1</v>
      </c>
      <c r="I43" s="20">
        <v>0</v>
      </c>
      <c r="J43" s="17" t="s">
        <v>12</v>
      </c>
      <c r="K43" s="2" t="s">
        <v>48</v>
      </c>
      <c r="L43" s="3">
        <v>45790</v>
      </c>
      <c r="M43" s="3"/>
      <c r="N43" s="1" t="s">
        <v>13</v>
      </c>
      <c r="O43" s="6">
        <f>IF([1]!MasterTable[[#This Row],[المؤشر الفرعي]] &gt; 0, [1]!MasterTable[[#This Row],[المؤشر الفرعي المكتمل]] / [1]!MasterTable[[#This Row],[المؤشر الفرعي]], 0)</f>
        <v>0</v>
      </c>
      <c r="P43" s="6"/>
      <c r="Q43"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43" s="6">
        <f>IF([1]!MasterTable[[#This Row],[احتساب عدد أيام التأخير]] &gt; 3, [1]!MasterTable[[#This Row],[احتساب عدد أيام التأخير]] * 3.3 / 100, 0)</f>
        <v>0</v>
      </c>
      <c r="S43"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44" spans="1:19" x14ac:dyDescent="0.25">
      <c r="A44" s="1" t="s">
        <v>52</v>
      </c>
      <c r="B44" s="1" t="s">
        <v>53</v>
      </c>
      <c r="C44" s="14" t="s">
        <v>68</v>
      </c>
      <c r="D44" s="14" t="s">
        <v>55</v>
      </c>
      <c r="E44" s="13">
        <v>1</v>
      </c>
      <c r="F44" s="4">
        <v>1</v>
      </c>
      <c r="G44" s="12" t="s">
        <v>74</v>
      </c>
      <c r="H44" s="13">
        <v>1</v>
      </c>
      <c r="I44" s="4">
        <v>1</v>
      </c>
      <c r="J44" s="18" t="s">
        <v>75</v>
      </c>
      <c r="K44" s="2" t="s">
        <v>48</v>
      </c>
      <c r="L44" s="3">
        <v>45790</v>
      </c>
      <c r="M44" s="5">
        <v>45761</v>
      </c>
      <c r="N44" s="18" t="s">
        <v>13</v>
      </c>
      <c r="O44" s="19">
        <f>IF([1]!MasterTable[[#This Row],[المؤشر الفرعي]] &gt; 0, [1]!MasterTable[[#This Row],[المؤشر الفرعي المكتمل]] / [1]!MasterTable[[#This Row],[المؤشر الفرعي]], 0)</f>
        <v>1</v>
      </c>
      <c r="P44" s="19" t="s">
        <v>51</v>
      </c>
      <c r="Q44"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44" s="6">
        <f>IF([1]!MasterTable[[#This Row],[احتساب عدد أيام التأخير]] &gt; 3, [1]!MasterTable[[#This Row],[احتساب عدد أيام التأخير]] * 3.3 / 100, 0)</f>
        <v>0</v>
      </c>
      <c r="S44"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45" spans="1:19" x14ac:dyDescent="0.25">
      <c r="A45" s="1" t="s">
        <v>52</v>
      </c>
      <c r="B45" s="1" t="s">
        <v>53</v>
      </c>
      <c r="C45" s="12" t="s">
        <v>76</v>
      </c>
      <c r="D45" s="12" t="s">
        <v>55</v>
      </c>
      <c r="E45" s="13">
        <v>1</v>
      </c>
      <c r="F45" s="4">
        <v>1</v>
      </c>
      <c r="G45" s="12" t="s">
        <v>77</v>
      </c>
      <c r="H45" s="13">
        <v>1</v>
      </c>
      <c r="I45" s="4">
        <v>1</v>
      </c>
      <c r="J45" s="18" t="s">
        <v>78</v>
      </c>
      <c r="K45" s="2" t="s">
        <v>48</v>
      </c>
      <c r="L45" s="3">
        <v>45694</v>
      </c>
      <c r="M45" s="5">
        <v>45669</v>
      </c>
      <c r="N45" s="18" t="s">
        <v>11</v>
      </c>
      <c r="O45" s="19">
        <f>IF([1]!MasterTable[[#This Row],[المؤشر الفرعي]] &gt; 0, [1]!MasterTable[[#This Row],[المؤشر الفرعي المكتمل]] / [1]!MasterTable[[#This Row],[المؤشر الفرعي]], 0)</f>
        <v>1</v>
      </c>
      <c r="P45" s="19" t="s">
        <v>51</v>
      </c>
      <c r="Q45"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45" s="6">
        <f>IF([1]!MasterTable[[#This Row],[احتساب عدد أيام التأخير]] &gt; 3, [1]!MasterTable[[#This Row],[احتساب عدد أيام التأخير]] * 3.3 / 100, 0)</f>
        <v>0</v>
      </c>
      <c r="S45"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46" spans="1:19" x14ac:dyDescent="0.25">
      <c r="A46" s="1" t="s">
        <v>52</v>
      </c>
      <c r="B46" s="1" t="s">
        <v>53</v>
      </c>
      <c r="C46" s="14" t="s">
        <v>76</v>
      </c>
      <c r="D46" s="14" t="s">
        <v>55</v>
      </c>
      <c r="E46" s="13">
        <v>1</v>
      </c>
      <c r="F46" s="20">
        <v>0</v>
      </c>
      <c r="G46" s="12" t="s">
        <v>74</v>
      </c>
      <c r="H46" s="13">
        <v>1</v>
      </c>
      <c r="I46" s="20">
        <v>0</v>
      </c>
      <c r="J46" s="12" t="s">
        <v>79</v>
      </c>
      <c r="K46" s="2" t="s">
        <v>48</v>
      </c>
      <c r="L46" s="3">
        <v>45790</v>
      </c>
      <c r="M46" s="3"/>
      <c r="N46" s="1" t="s">
        <v>13</v>
      </c>
      <c r="O46" s="6">
        <f>IF([1]!MasterTable[[#This Row],[المؤشر الفرعي]] &gt; 0, [1]!MasterTable[[#This Row],[المؤشر الفرعي المكتمل]] / [1]!MasterTable[[#This Row],[المؤشر الفرعي]], 0)</f>
        <v>0</v>
      </c>
      <c r="P46" s="6"/>
      <c r="Q46"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46" s="6">
        <f>IF([1]!MasterTable[[#This Row],[احتساب عدد أيام التأخير]] &gt; 3, [1]!MasterTable[[#This Row],[احتساب عدد أيام التأخير]] * 3.3 / 100, 0)</f>
        <v>0</v>
      </c>
      <c r="S46"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47" spans="1:19" x14ac:dyDescent="0.25">
      <c r="A47" s="1" t="s">
        <v>52</v>
      </c>
      <c r="B47" s="1" t="s">
        <v>53</v>
      </c>
      <c r="C47" s="14" t="s">
        <v>76</v>
      </c>
      <c r="D47" s="14" t="s">
        <v>55</v>
      </c>
      <c r="E47" s="16">
        <v>0</v>
      </c>
      <c r="F47" s="16">
        <v>0</v>
      </c>
      <c r="G47" s="17" t="s">
        <v>12</v>
      </c>
      <c r="H47" s="15">
        <v>1</v>
      </c>
      <c r="I47" s="20">
        <v>0</v>
      </c>
      <c r="J47" s="17" t="s">
        <v>12</v>
      </c>
      <c r="K47" s="2" t="s">
        <v>48</v>
      </c>
      <c r="L47" s="3">
        <v>45790</v>
      </c>
      <c r="M47" s="3"/>
      <c r="N47" s="1" t="s">
        <v>13</v>
      </c>
      <c r="O47" s="6">
        <f>IF([1]!MasterTable[[#This Row],[المؤشر الفرعي]] &gt; 0, [1]!MasterTable[[#This Row],[المؤشر الفرعي المكتمل]] / [1]!MasterTable[[#This Row],[المؤشر الفرعي]], 0)</f>
        <v>0</v>
      </c>
      <c r="P47" s="6"/>
      <c r="Q47"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47" s="6">
        <f>IF([1]!MasterTable[[#This Row],[احتساب عدد أيام التأخير]] &gt; 3, [1]!MasterTable[[#This Row],[احتساب عدد أيام التأخير]] * 3.3 / 100, 0)</f>
        <v>0</v>
      </c>
      <c r="S47"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48" spans="1:19" x14ac:dyDescent="0.25">
      <c r="A48" s="1" t="s">
        <v>52</v>
      </c>
      <c r="B48" s="1" t="s">
        <v>53</v>
      </c>
      <c r="C48" s="14" t="s">
        <v>76</v>
      </c>
      <c r="D48" s="14" t="s">
        <v>55</v>
      </c>
      <c r="E48" s="13">
        <v>1</v>
      </c>
      <c r="F48" s="20">
        <v>0</v>
      </c>
      <c r="G48" s="12" t="s">
        <v>10</v>
      </c>
      <c r="H48" s="13">
        <v>1</v>
      </c>
      <c r="I48" s="4">
        <v>1</v>
      </c>
      <c r="J48" s="12" t="s">
        <v>80</v>
      </c>
      <c r="K48" s="2" t="s">
        <v>48</v>
      </c>
      <c r="L48" s="3">
        <v>45790</v>
      </c>
      <c r="M48" s="5">
        <v>45761</v>
      </c>
      <c r="N48" s="18" t="s">
        <v>13</v>
      </c>
      <c r="O48" s="19">
        <f>IF([1]!MasterTable[[#This Row],[المؤشر الفرعي]] &gt; 0, [1]!MasterTable[[#This Row],[المؤشر الفرعي المكتمل]] / [1]!MasterTable[[#This Row],[المؤشر الفرعي]], 0)</f>
        <v>1</v>
      </c>
      <c r="P48" s="19" t="s">
        <v>51</v>
      </c>
      <c r="Q48"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48" s="6">
        <f>IF([1]!MasterTable[[#This Row],[احتساب عدد أيام التأخير]] &gt; 3, [1]!MasterTable[[#This Row],[احتساب عدد أيام التأخير]] * 3.3 / 100, 0)</f>
        <v>0</v>
      </c>
      <c r="S48"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49" spans="1:19" x14ac:dyDescent="0.25">
      <c r="A49" s="1" t="s">
        <v>52</v>
      </c>
      <c r="B49" s="1" t="s">
        <v>53</v>
      </c>
      <c r="C49" s="14" t="s">
        <v>76</v>
      </c>
      <c r="D49" s="14" t="s">
        <v>55</v>
      </c>
      <c r="E49" s="16">
        <v>0</v>
      </c>
      <c r="F49" s="16">
        <v>0</v>
      </c>
      <c r="G49" s="17" t="s">
        <v>12</v>
      </c>
      <c r="H49" s="15">
        <v>1</v>
      </c>
      <c r="I49" s="20">
        <v>0</v>
      </c>
      <c r="J49" s="17" t="s">
        <v>12</v>
      </c>
      <c r="K49" s="2" t="s">
        <v>48</v>
      </c>
      <c r="L49" s="3">
        <v>45790</v>
      </c>
      <c r="M49" s="3"/>
      <c r="N49" s="1" t="s">
        <v>13</v>
      </c>
      <c r="O49" s="6">
        <f>IF([1]!MasterTable[[#This Row],[المؤشر الفرعي]] &gt; 0, [1]!MasterTable[[#This Row],[المؤشر الفرعي المكتمل]] / [1]!MasterTable[[#This Row],[المؤشر الفرعي]], 0)</f>
        <v>0</v>
      </c>
      <c r="P49" s="6"/>
      <c r="Q49"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49" s="6">
        <f>IF([1]!MasterTable[[#This Row],[احتساب عدد أيام التأخير]] &gt; 3, [1]!MasterTable[[#This Row],[احتساب عدد أيام التأخير]] * 3.3 / 100, 0)</f>
        <v>0</v>
      </c>
      <c r="S49"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50" spans="1:19" x14ac:dyDescent="0.25">
      <c r="A50" s="1" t="s">
        <v>52</v>
      </c>
      <c r="B50" s="1" t="s">
        <v>53</v>
      </c>
      <c r="C50" s="14" t="s">
        <v>76</v>
      </c>
      <c r="D50" s="14" t="s">
        <v>55</v>
      </c>
      <c r="E50" s="16">
        <v>0</v>
      </c>
      <c r="F50" s="16">
        <v>0</v>
      </c>
      <c r="G50" s="17" t="s">
        <v>12</v>
      </c>
      <c r="H50" s="15">
        <v>1</v>
      </c>
      <c r="I50" s="20">
        <v>0</v>
      </c>
      <c r="J50" s="17" t="s">
        <v>12</v>
      </c>
      <c r="K50" s="2" t="s">
        <v>48</v>
      </c>
      <c r="L50" s="3">
        <v>45790</v>
      </c>
      <c r="M50" s="3"/>
      <c r="N50" s="1" t="s">
        <v>13</v>
      </c>
      <c r="O50" s="6">
        <f>IF([1]!MasterTable[[#This Row],[المؤشر الفرعي]] &gt; 0, [1]!MasterTable[[#This Row],[المؤشر الفرعي المكتمل]] / [1]!MasterTable[[#This Row],[المؤشر الفرعي]], 0)</f>
        <v>0</v>
      </c>
      <c r="P50" s="6"/>
      <c r="Q50"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50" s="6">
        <f>IF([1]!MasterTable[[#This Row],[احتساب عدد أيام التأخير]] &gt; 3, [1]!MasterTable[[#This Row],[احتساب عدد أيام التأخير]] * 3.3 / 100, 0)</f>
        <v>0</v>
      </c>
      <c r="S50"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51" spans="1:19" x14ac:dyDescent="0.25">
      <c r="A51" s="1" t="s">
        <v>52</v>
      </c>
      <c r="B51" s="1" t="s">
        <v>53</v>
      </c>
      <c r="C51" s="14" t="s">
        <v>76</v>
      </c>
      <c r="D51" s="14" t="s">
        <v>55</v>
      </c>
      <c r="E51" s="16">
        <v>0</v>
      </c>
      <c r="F51" s="16">
        <v>0</v>
      </c>
      <c r="G51" s="17" t="s">
        <v>12</v>
      </c>
      <c r="H51" s="15">
        <v>1</v>
      </c>
      <c r="I51" s="20">
        <v>0</v>
      </c>
      <c r="J51" s="17" t="s">
        <v>12</v>
      </c>
      <c r="K51" s="2" t="s">
        <v>48</v>
      </c>
      <c r="L51" s="3">
        <v>45790</v>
      </c>
      <c r="M51" s="3"/>
      <c r="N51" s="1" t="s">
        <v>13</v>
      </c>
      <c r="O51" s="6">
        <f>IF([1]!MasterTable[[#This Row],[المؤشر الفرعي]] &gt; 0, [1]!MasterTable[[#This Row],[المؤشر الفرعي المكتمل]] / [1]!MasterTable[[#This Row],[المؤشر الفرعي]], 0)</f>
        <v>0</v>
      </c>
      <c r="P51" s="6"/>
      <c r="Q51"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51" s="6">
        <f>IF([1]!MasterTable[[#This Row],[احتساب عدد أيام التأخير]] &gt; 3, [1]!MasterTable[[#This Row],[احتساب عدد أيام التأخير]] * 3.3 / 100, 0)</f>
        <v>0</v>
      </c>
      <c r="S51"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52" spans="1:19" x14ac:dyDescent="0.25">
      <c r="A52" s="1" t="s">
        <v>52</v>
      </c>
      <c r="B52" s="1" t="s">
        <v>53</v>
      </c>
      <c r="C52" s="14" t="s">
        <v>76</v>
      </c>
      <c r="D52" s="14" t="s">
        <v>55</v>
      </c>
      <c r="E52" s="13">
        <v>1</v>
      </c>
      <c r="F52" s="4">
        <v>1</v>
      </c>
      <c r="G52" s="12" t="s">
        <v>10</v>
      </c>
      <c r="H52" s="13">
        <v>1</v>
      </c>
      <c r="I52" s="4">
        <v>1</v>
      </c>
      <c r="J52" s="12" t="s">
        <v>81</v>
      </c>
      <c r="K52" s="2" t="s">
        <v>48</v>
      </c>
      <c r="L52" s="3">
        <v>45790</v>
      </c>
      <c r="M52" s="5">
        <v>45761</v>
      </c>
      <c r="N52" s="18" t="s">
        <v>13</v>
      </c>
      <c r="O52" s="19">
        <f>IF([1]!MasterTable[[#This Row],[المؤشر الفرعي]] &gt; 0, [1]!MasterTable[[#This Row],[المؤشر الفرعي المكتمل]] / [1]!MasterTable[[#This Row],[المؤشر الفرعي]], 0)</f>
        <v>1</v>
      </c>
      <c r="P52" s="19" t="s">
        <v>51</v>
      </c>
      <c r="Q52"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52" s="6">
        <f>IF([1]!MasterTable[[#This Row],[احتساب عدد أيام التأخير]] &gt; 3, [1]!MasterTable[[#This Row],[احتساب عدد أيام التأخير]] * 3.3 / 100, 0)</f>
        <v>0</v>
      </c>
      <c r="S52"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53" spans="1:19" x14ac:dyDescent="0.25">
      <c r="A53" s="1" t="s">
        <v>52</v>
      </c>
      <c r="B53" s="1" t="s">
        <v>53</v>
      </c>
      <c r="C53" s="14" t="s">
        <v>76</v>
      </c>
      <c r="D53" s="14" t="s">
        <v>55</v>
      </c>
      <c r="E53" s="16">
        <v>0</v>
      </c>
      <c r="F53" s="16">
        <v>0</v>
      </c>
      <c r="G53" s="17" t="s">
        <v>12</v>
      </c>
      <c r="H53" s="15">
        <v>1</v>
      </c>
      <c r="I53" s="20">
        <v>0</v>
      </c>
      <c r="J53" s="17" t="s">
        <v>12</v>
      </c>
      <c r="K53" s="2" t="s">
        <v>48</v>
      </c>
      <c r="L53" s="3">
        <v>45790</v>
      </c>
      <c r="M53" s="3"/>
      <c r="N53" s="1" t="s">
        <v>13</v>
      </c>
      <c r="O53" s="6">
        <f>IF([1]!MasterTable[[#This Row],[المؤشر الفرعي]] &gt; 0, [1]!MasterTable[[#This Row],[المؤشر الفرعي المكتمل]] / [1]!MasterTable[[#This Row],[المؤشر الفرعي]], 0)</f>
        <v>0</v>
      </c>
      <c r="P53" s="6"/>
      <c r="Q53"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53" s="6">
        <f>IF([1]!MasterTable[[#This Row],[احتساب عدد أيام التأخير]] &gt; 3, [1]!MasterTable[[#This Row],[احتساب عدد أيام التأخير]] * 3.3 / 100, 0)</f>
        <v>0</v>
      </c>
      <c r="S53"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54" spans="1:19" x14ac:dyDescent="0.25">
      <c r="A54" s="1" t="s">
        <v>52</v>
      </c>
      <c r="B54" s="1" t="s">
        <v>53</v>
      </c>
      <c r="C54" s="14" t="s">
        <v>76</v>
      </c>
      <c r="D54" s="14" t="s">
        <v>55</v>
      </c>
      <c r="E54" s="16">
        <v>0</v>
      </c>
      <c r="F54" s="16">
        <v>0</v>
      </c>
      <c r="G54" s="17" t="s">
        <v>12</v>
      </c>
      <c r="H54" s="15">
        <v>1</v>
      </c>
      <c r="I54" s="20">
        <v>0</v>
      </c>
      <c r="J54" s="17" t="s">
        <v>12</v>
      </c>
      <c r="K54" s="2" t="s">
        <v>48</v>
      </c>
      <c r="L54" s="3">
        <v>45790</v>
      </c>
      <c r="M54" s="3"/>
      <c r="N54" s="1" t="s">
        <v>13</v>
      </c>
      <c r="O54" s="6">
        <f>IF([1]!MasterTable[[#This Row],[المؤشر الفرعي]] &gt; 0, [1]!MasterTable[[#This Row],[المؤشر الفرعي المكتمل]] / [1]!MasterTable[[#This Row],[المؤشر الفرعي]], 0)</f>
        <v>0</v>
      </c>
      <c r="P54" s="6"/>
      <c r="Q54"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54" s="6">
        <f>IF([1]!MasterTable[[#This Row],[احتساب عدد أيام التأخير]] &gt; 3, [1]!MasterTable[[#This Row],[احتساب عدد أيام التأخير]] * 3.3 / 100, 0)</f>
        <v>0</v>
      </c>
      <c r="S54"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55" spans="1:19" x14ac:dyDescent="0.25">
      <c r="A55" s="1" t="s">
        <v>52</v>
      </c>
      <c r="B55" s="1" t="s">
        <v>53</v>
      </c>
      <c r="C55" s="14" t="s">
        <v>76</v>
      </c>
      <c r="D55" s="14" t="s">
        <v>55</v>
      </c>
      <c r="E55" s="16">
        <v>0</v>
      </c>
      <c r="F55" s="16">
        <v>0</v>
      </c>
      <c r="G55" s="17" t="s">
        <v>12</v>
      </c>
      <c r="H55" s="15">
        <v>1</v>
      </c>
      <c r="I55" s="20">
        <v>0</v>
      </c>
      <c r="J55" s="17" t="s">
        <v>12</v>
      </c>
      <c r="K55" s="2" t="s">
        <v>48</v>
      </c>
      <c r="L55" s="3">
        <v>45790</v>
      </c>
      <c r="M55" s="3"/>
      <c r="N55" s="1" t="s">
        <v>13</v>
      </c>
      <c r="O55" s="6">
        <f>IF([1]!MasterTable[[#This Row],[المؤشر الفرعي]] &gt; 0, [1]!MasterTable[[#This Row],[المؤشر الفرعي المكتمل]] / [1]!MasterTable[[#This Row],[المؤشر الفرعي]], 0)</f>
        <v>0</v>
      </c>
      <c r="P55" s="6"/>
      <c r="Q55"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55" s="6">
        <f>IF([1]!MasterTable[[#This Row],[احتساب عدد أيام التأخير]] &gt; 3, [1]!MasterTable[[#This Row],[احتساب عدد أيام التأخير]] * 3.3 / 100, 0)</f>
        <v>0</v>
      </c>
      <c r="S55"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56" spans="1:19" x14ac:dyDescent="0.25">
      <c r="A56" s="1" t="s">
        <v>52</v>
      </c>
      <c r="B56" s="1" t="s">
        <v>53</v>
      </c>
      <c r="C56" s="14" t="s">
        <v>76</v>
      </c>
      <c r="D56" s="14" t="s">
        <v>55</v>
      </c>
      <c r="E56" s="13">
        <v>1</v>
      </c>
      <c r="F56" s="4">
        <v>1</v>
      </c>
      <c r="G56" s="12" t="s">
        <v>74</v>
      </c>
      <c r="H56" s="13">
        <v>1</v>
      </c>
      <c r="I56" s="4">
        <v>1</v>
      </c>
      <c r="J56" s="12" t="s">
        <v>82</v>
      </c>
      <c r="K56" s="2" t="s">
        <v>48</v>
      </c>
      <c r="L56" s="3">
        <v>45790</v>
      </c>
      <c r="M56" s="5">
        <v>45761</v>
      </c>
      <c r="N56" s="18" t="s">
        <v>13</v>
      </c>
      <c r="O56" s="19">
        <f>IF([1]!MasterTable[[#This Row],[المؤشر الفرعي]] &gt; 0, [1]!MasterTable[[#This Row],[المؤشر الفرعي المكتمل]] / [1]!MasterTable[[#This Row],[المؤشر الفرعي]], 0)</f>
        <v>1</v>
      </c>
      <c r="P56" s="19" t="s">
        <v>51</v>
      </c>
      <c r="Q56"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56" s="6">
        <f>IF([1]!MasterTable[[#This Row],[احتساب عدد أيام التأخير]] &gt; 3, [1]!MasterTable[[#This Row],[احتساب عدد أيام التأخير]] * 3.3 / 100, 0)</f>
        <v>0</v>
      </c>
      <c r="S56"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57" spans="1:19" x14ac:dyDescent="0.25">
      <c r="A57" s="1" t="s">
        <v>52</v>
      </c>
      <c r="B57" s="1" t="s">
        <v>53</v>
      </c>
      <c r="C57" s="14" t="s">
        <v>76</v>
      </c>
      <c r="D57" s="14" t="s">
        <v>55</v>
      </c>
      <c r="E57" s="16">
        <v>0</v>
      </c>
      <c r="F57" s="16">
        <v>0</v>
      </c>
      <c r="G57" s="17" t="s">
        <v>12</v>
      </c>
      <c r="H57" s="15">
        <v>1</v>
      </c>
      <c r="I57" s="20">
        <v>0</v>
      </c>
      <c r="J57" s="17" t="s">
        <v>12</v>
      </c>
      <c r="K57" s="2" t="s">
        <v>48</v>
      </c>
      <c r="L57" s="3">
        <v>45790</v>
      </c>
      <c r="M57" s="3"/>
      <c r="N57" s="1" t="s">
        <v>13</v>
      </c>
      <c r="O57" s="6">
        <f>IF([1]!MasterTable[[#This Row],[المؤشر الفرعي]] &gt; 0, [1]!MasterTable[[#This Row],[المؤشر الفرعي المكتمل]] / [1]!MasterTable[[#This Row],[المؤشر الفرعي]], 0)</f>
        <v>0</v>
      </c>
      <c r="P57" s="6"/>
      <c r="Q57"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57" s="6">
        <f>IF([1]!MasterTable[[#This Row],[احتساب عدد أيام التأخير]] &gt; 3, [1]!MasterTable[[#This Row],[احتساب عدد أيام التأخير]] * 3.3 / 100, 0)</f>
        <v>0</v>
      </c>
      <c r="S57"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58" spans="1:19" x14ac:dyDescent="0.25">
      <c r="A58" s="1" t="s">
        <v>52</v>
      </c>
      <c r="B58" s="1" t="s">
        <v>53</v>
      </c>
      <c r="C58" s="12" t="s">
        <v>83</v>
      </c>
      <c r="D58" s="12" t="s">
        <v>55</v>
      </c>
      <c r="E58" s="13">
        <v>1</v>
      </c>
      <c r="F58" s="20">
        <v>0</v>
      </c>
      <c r="G58" s="12" t="s">
        <v>10</v>
      </c>
      <c r="H58" s="13">
        <v>1</v>
      </c>
      <c r="I58" s="20">
        <v>0</v>
      </c>
      <c r="J58" s="12" t="s">
        <v>84</v>
      </c>
      <c r="K58" s="2" t="s">
        <v>48</v>
      </c>
      <c r="L58" s="3">
        <v>45790</v>
      </c>
      <c r="M58" s="3"/>
      <c r="N58" s="1" t="s">
        <v>13</v>
      </c>
      <c r="O58" s="6">
        <f>IF([1]!MasterTable[[#This Row],[المؤشر الفرعي]] &gt; 0, [1]!MasterTable[[#This Row],[المؤشر الفرعي المكتمل]] / [1]!MasterTable[[#This Row],[المؤشر الفرعي]], 0)</f>
        <v>0</v>
      </c>
      <c r="P58" s="6"/>
      <c r="Q58"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58" s="6">
        <f>IF([1]!MasterTable[[#This Row],[احتساب عدد أيام التأخير]] &gt; 3, [1]!MasterTable[[#This Row],[احتساب عدد أيام التأخير]] * 3.3 / 100, 0)</f>
        <v>0</v>
      </c>
      <c r="S58"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59" spans="1:19" x14ac:dyDescent="0.25">
      <c r="A59" s="1" t="s">
        <v>52</v>
      </c>
      <c r="B59" s="1" t="s">
        <v>53</v>
      </c>
      <c r="C59" s="14" t="s">
        <v>83</v>
      </c>
      <c r="D59" s="14" t="s">
        <v>55</v>
      </c>
      <c r="E59" s="16">
        <v>0</v>
      </c>
      <c r="F59" s="16">
        <v>0</v>
      </c>
      <c r="G59" s="17" t="s">
        <v>12</v>
      </c>
      <c r="H59" s="15">
        <v>1</v>
      </c>
      <c r="I59" s="20">
        <v>0</v>
      </c>
      <c r="J59" s="17" t="s">
        <v>12</v>
      </c>
      <c r="K59" s="2" t="s">
        <v>48</v>
      </c>
      <c r="L59" s="3">
        <v>45790</v>
      </c>
      <c r="M59" s="3"/>
      <c r="N59" s="1" t="s">
        <v>13</v>
      </c>
      <c r="O59" s="6">
        <f>IF([1]!MasterTable[[#This Row],[المؤشر الفرعي]] &gt; 0, [1]!MasterTable[[#This Row],[المؤشر الفرعي المكتمل]] / [1]!MasterTable[[#This Row],[المؤشر الفرعي]], 0)</f>
        <v>0</v>
      </c>
      <c r="P59" s="6"/>
      <c r="Q59"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59" s="6">
        <f>IF([1]!MasterTable[[#This Row],[احتساب عدد أيام التأخير]] &gt; 3, [1]!MasterTable[[#This Row],[احتساب عدد أيام التأخير]] * 3.3 / 100, 0)</f>
        <v>0</v>
      </c>
      <c r="S59"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60" spans="1:19" x14ac:dyDescent="0.25">
      <c r="A60" s="1" t="s">
        <v>52</v>
      </c>
      <c r="B60" s="1" t="s">
        <v>53</v>
      </c>
      <c r="C60" s="14" t="s">
        <v>83</v>
      </c>
      <c r="D60" s="14" t="s">
        <v>55</v>
      </c>
      <c r="E60" s="16">
        <v>0</v>
      </c>
      <c r="F60" s="16">
        <v>0</v>
      </c>
      <c r="G60" s="17" t="s">
        <v>12</v>
      </c>
      <c r="H60" s="15">
        <v>1</v>
      </c>
      <c r="I60" s="20">
        <v>0</v>
      </c>
      <c r="J60" s="17" t="s">
        <v>12</v>
      </c>
      <c r="K60" s="2" t="s">
        <v>48</v>
      </c>
      <c r="L60" s="3">
        <v>45790</v>
      </c>
      <c r="M60" s="3"/>
      <c r="N60" s="1" t="s">
        <v>13</v>
      </c>
      <c r="O60" s="6">
        <f>IF([1]!MasterTable[[#This Row],[المؤشر الفرعي]] &gt; 0, [1]!MasterTable[[#This Row],[المؤشر الفرعي المكتمل]] / [1]!MasterTable[[#This Row],[المؤشر الفرعي]], 0)</f>
        <v>0</v>
      </c>
      <c r="P60" s="6"/>
      <c r="Q60"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60" s="6">
        <f>IF([1]!MasterTable[[#This Row],[احتساب عدد أيام التأخير]] &gt; 3, [1]!MasterTable[[#This Row],[احتساب عدد أيام التأخير]] * 3.3 / 100, 0)</f>
        <v>0</v>
      </c>
      <c r="S60"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61" spans="1:19" x14ac:dyDescent="0.25">
      <c r="A61" s="1" t="s">
        <v>52</v>
      </c>
      <c r="B61" s="1" t="s">
        <v>53</v>
      </c>
      <c r="C61" s="14" t="s">
        <v>83</v>
      </c>
      <c r="D61" s="14" t="s">
        <v>55</v>
      </c>
      <c r="E61" s="16">
        <v>0</v>
      </c>
      <c r="F61" s="16">
        <v>0</v>
      </c>
      <c r="G61" s="17" t="s">
        <v>12</v>
      </c>
      <c r="H61" s="15">
        <v>1</v>
      </c>
      <c r="I61" s="20">
        <v>0</v>
      </c>
      <c r="J61" s="17" t="s">
        <v>12</v>
      </c>
      <c r="K61" s="2" t="s">
        <v>48</v>
      </c>
      <c r="L61" s="3">
        <v>45790</v>
      </c>
      <c r="M61" s="3"/>
      <c r="N61" s="1" t="s">
        <v>13</v>
      </c>
      <c r="O61" s="6">
        <f>IF([1]!MasterTable[[#This Row],[المؤشر الفرعي]] &gt; 0, [1]!MasterTable[[#This Row],[المؤشر الفرعي المكتمل]] / [1]!MasterTable[[#This Row],[المؤشر الفرعي]], 0)</f>
        <v>0</v>
      </c>
      <c r="P61" s="6"/>
      <c r="Q61"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61" s="6">
        <f>IF([1]!MasterTable[[#This Row],[احتساب عدد أيام التأخير]] &gt; 3, [1]!MasterTable[[#This Row],[احتساب عدد أيام التأخير]] * 3.3 / 100, 0)</f>
        <v>0</v>
      </c>
      <c r="S61"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62" spans="1:19" x14ac:dyDescent="0.25">
      <c r="A62" s="1" t="s">
        <v>52</v>
      </c>
      <c r="B62" s="1" t="s">
        <v>53</v>
      </c>
      <c r="C62" s="14" t="s">
        <v>83</v>
      </c>
      <c r="D62" s="14" t="s">
        <v>55</v>
      </c>
      <c r="E62" s="13">
        <v>1</v>
      </c>
      <c r="F62" s="4">
        <v>1</v>
      </c>
      <c r="G62" s="12" t="s">
        <v>10</v>
      </c>
      <c r="H62" s="13">
        <v>1</v>
      </c>
      <c r="I62" s="4">
        <v>1</v>
      </c>
      <c r="J62" s="12" t="s">
        <v>85</v>
      </c>
      <c r="K62" s="2" t="s">
        <v>48</v>
      </c>
      <c r="L62" s="3">
        <v>45790</v>
      </c>
      <c r="M62" s="5">
        <v>45761</v>
      </c>
      <c r="N62" s="18" t="s">
        <v>13</v>
      </c>
      <c r="O62" s="19">
        <f>IF([1]!MasterTable[[#This Row],[المؤشر الفرعي]] &gt; 0, [1]!MasterTable[[#This Row],[المؤشر الفرعي المكتمل]] / [1]!MasterTable[[#This Row],[المؤشر الفرعي]], 0)</f>
        <v>1</v>
      </c>
      <c r="P62" s="19" t="s">
        <v>51</v>
      </c>
      <c r="Q62"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62" s="6">
        <f>IF([1]!MasterTable[[#This Row],[احتساب عدد أيام التأخير]] &gt; 3, [1]!MasterTable[[#This Row],[احتساب عدد أيام التأخير]] * 3.3 / 100, 0)</f>
        <v>0</v>
      </c>
      <c r="S62"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63" spans="1:19" x14ac:dyDescent="0.25">
      <c r="A63" s="1" t="s">
        <v>52</v>
      </c>
      <c r="B63" s="1" t="s">
        <v>53</v>
      </c>
      <c r="C63" s="14" t="s">
        <v>83</v>
      </c>
      <c r="D63" s="14" t="s">
        <v>55</v>
      </c>
      <c r="E63" s="16">
        <v>0</v>
      </c>
      <c r="F63" s="16">
        <v>0</v>
      </c>
      <c r="G63" s="17" t="s">
        <v>12</v>
      </c>
      <c r="H63" s="15">
        <v>1</v>
      </c>
      <c r="I63" s="20">
        <v>0</v>
      </c>
      <c r="J63" s="17" t="s">
        <v>12</v>
      </c>
      <c r="K63" s="2" t="s">
        <v>48</v>
      </c>
      <c r="L63" s="3">
        <v>45790</v>
      </c>
      <c r="M63" s="3"/>
      <c r="N63" s="1" t="s">
        <v>13</v>
      </c>
      <c r="O63" s="6">
        <f>IF([1]!MasterTable[[#This Row],[المؤشر الفرعي]] &gt; 0, [1]!MasterTable[[#This Row],[المؤشر الفرعي المكتمل]] / [1]!MasterTable[[#This Row],[المؤشر الفرعي]], 0)</f>
        <v>0</v>
      </c>
      <c r="P63" s="6"/>
      <c r="Q63"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63" s="6">
        <f>IF([1]!MasterTable[[#This Row],[احتساب عدد أيام التأخير]] &gt; 3, [1]!MasterTable[[#This Row],[احتساب عدد أيام التأخير]] * 3.3 / 100, 0)</f>
        <v>0</v>
      </c>
      <c r="S63"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64" spans="1:19" x14ac:dyDescent="0.25">
      <c r="A64" s="1" t="s">
        <v>52</v>
      </c>
      <c r="B64" s="1" t="s">
        <v>53</v>
      </c>
      <c r="C64" s="14" t="s">
        <v>83</v>
      </c>
      <c r="D64" s="14" t="s">
        <v>55</v>
      </c>
      <c r="E64" s="13">
        <v>1</v>
      </c>
      <c r="F64" s="4">
        <v>1</v>
      </c>
      <c r="G64" s="12" t="s">
        <v>10</v>
      </c>
      <c r="H64" s="13">
        <v>1</v>
      </c>
      <c r="I64" s="4">
        <v>1</v>
      </c>
      <c r="J64" s="12" t="s">
        <v>86</v>
      </c>
      <c r="K64" s="2" t="s">
        <v>48</v>
      </c>
      <c r="L64" s="3">
        <v>45790</v>
      </c>
      <c r="M64" s="5">
        <v>45761</v>
      </c>
      <c r="N64" s="18" t="s">
        <v>13</v>
      </c>
      <c r="O64" s="19">
        <f>IF([1]!MasterTable[[#This Row],[المؤشر الفرعي]] &gt; 0, [1]!MasterTable[[#This Row],[المؤشر الفرعي المكتمل]] / [1]!MasterTable[[#This Row],[المؤشر الفرعي]], 0)</f>
        <v>1</v>
      </c>
      <c r="P64" s="19" t="s">
        <v>51</v>
      </c>
      <c r="Q64"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64" s="6">
        <f>IF([1]!MasterTable[[#This Row],[احتساب عدد أيام التأخير]] &gt; 3, [1]!MasterTable[[#This Row],[احتساب عدد أيام التأخير]] * 3.3 / 100, 0)</f>
        <v>0</v>
      </c>
      <c r="S64"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65" spans="1:19" x14ac:dyDescent="0.25">
      <c r="A65" s="1" t="s">
        <v>52</v>
      </c>
      <c r="B65" s="1" t="s">
        <v>53</v>
      </c>
      <c r="C65" s="14" t="s">
        <v>83</v>
      </c>
      <c r="D65" s="14" t="s">
        <v>55</v>
      </c>
      <c r="E65" s="16">
        <v>0</v>
      </c>
      <c r="F65" s="16">
        <v>0</v>
      </c>
      <c r="G65" s="17" t="s">
        <v>12</v>
      </c>
      <c r="H65" s="15">
        <v>1</v>
      </c>
      <c r="I65" s="20">
        <v>0</v>
      </c>
      <c r="J65" s="17" t="s">
        <v>12</v>
      </c>
      <c r="K65" s="2" t="s">
        <v>48</v>
      </c>
      <c r="L65" s="3">
        <v>45790</v>
      </c>
      <c r="M65" s="3"/>
      <c r="N65" s="1" t="s">
        <v>13</v>
      </c>
      <c r="O65" s="6">
        <f>IF([1]!MasterTable[[#This Row],[المؤشر الفرعي]] &gt; 0, [1]!MasterTable[[#This Row],[المؤشر الفرعي المكتمل]] / [1]!MasterTable[[#This Row],[المؤشر الفرعي]], 0)</f>
        <v>0</v>
      </c>
      <c r="P65" s="6"/>
      <c r="Q65"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65" s="6">
        <f>IF([1]!MasterTable[[#This Row],[احتساب عدد أيام التأخير]] &gt; 3, [1]!MasterTable[[#This Row],[احتساب عدد أيام التأخير]] * 3.3 / 100, 0)</f>
        <v>0</v>
      </c>
      <c r="S65"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66" spans="1:19" x14ac:dyDescent="0.25">
      <c r="A66" s="1" t="s">
        <v>52</v>
      </c>
      <c r="B66" s="1" t="s">
        <v>53</v>
      </c>
      <c r="C66" s="14" t="s">
        <v>83</v>
      </c>
      <c r="D66" s="14" t="s">
        <v>55</v>
      </c>
      <c r="E66" s="13">
        <v>1</v>
      </c>
      <c r="F66" s="4">
        <v>1</v>
      </c>
      <c r="G66" s="12" t="s">
        <v>10</v>
      </c>
      <c r="H66" s="13">
        <v>1</v>
      </c>
      <c r="I66" s="4">
        <v>1</v>
      </c>
      <c r="J66" s="18" t="s">
        <v>87</v>
      </c>
      <c r="K66" s="2" t="s">
        <v>48</v>
      </c>
      <c r="L66" s="3">
        <v>45790</v>
      </c>
      <c r="M66" s="5">
        <v>45761</v>
      </c>
      <c r="N66" s="18" t="s">
        <v>13</v>
      </c>
      <c r="O66" s="19">
        <f>IF([1]!MasterTable[[#This Row],[المؤشر الفرعي]] &gt; 0, [1]!MasterTable[[#This Row],[المؤشر الفرعي المكتمل]] / [1]!MasterTable[[#This Row],[المؤشر الفرعي]], 0)</f>
        <v>1</v>
      </c>
      <c r="P66" s="19" t="s">
        <v>51</v>
      </c>
      <c r="Q66"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66" s="6">
        <f>IF([1]!MasterTable[[#This Row],[احتساب عدد أيام التأخير]] &gt; 3, [1]!MasterTable[[#This Row],[احتساب عدد أيام التأخير]] * 3.3 / 100, 0)</f>
        <v>0</v>
      </c>
      <c r="S66"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67" spans="1:19" x14ac:dyDescent="0.25">
      <c r="A67" s="1" t="s">
        <v>52</v>
      </c>
      <c r="B67" s="1" t="s">
        <v>53</v>
      </c>
      <c r="C67" s="14" t="s">
        <v>83</v>
      </c>
      <c r="D67" s="14" t="s">
        <v>55</v>
      </c>
      <c r="E67" s="13">
        <v>1</v>
      </c>
      <c r="F67" s="4">
        <v>1</v>
      </c>
      <c r="G67" s="12" t="s">
        <v>10</v>
      </c>
      <c r="H67" s="13">
        <v>1</v>
      </c>
      <c r="I67" s="4">
        <v>1</v>
      </c>
      <c r="J67" s="18" t="s">
        <v>88</v>
      </c>
      <c r="K67" s="2" t="s">
        <v>48</v>
      </c>
      <c r="L67" s="3">
        <v>45790</v>
      </c>
      <c r="M67" s="5">
        <v>45761</v>
      </c>
      <c r="N67" s="18" t="s">
        <v>13</v>
      </c>
      <c r="O67" s="19">
        <f>IF([1]!MasterTable[[#This Row],[المؤشر الفرعي]] &gt; 0, [1]!MasterTable[[#This Row],[المؤشر الفرعي المكتمل]] / [1]!MasterTable[[#This Row],[المؤشر الفرعي]], 0)</f>
        <v>1</v>
      </c>
      <c r="P67" s="19" t="s">
        <v>51</v>
      </c>
      <c r="Q67"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67" s="6">
        <f>IF([1]!MasterTable[[#This Row],[احتساب عدد أيام التأخير]] &gt; 3, [1]!MasterTable[[#This Row],[احتساب عدد أيام التأخير]] * 3.3 / 100, 0)</f>
        <v>0</v>
      </c>
      <c r="S67"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68" spans="1:19" x14ac:dyDescent="0.25">
      <c r="A68" s="1" t="s">
        <v>52</v>
      </c>
      <c r="B68" s="1" t="s">
        <v>53</v>
      </c>
      <c r="C68" s="12" t="s">
        <v>89</v>
      </c>
      <c r="D68" s="12" t="s">
        <v>55</v>
      </c>
      <c r="E68" s="13">
        <v>1</v>
      </c>
      <c r="F68" s="4">
        <v>1</v>
      </c>
      <c r="G68" s="12" t="s">
        <v>10</v>
      </c>
      <c r="H68" s="13">
        <v>1</v>
      </c>
      <c r="I68" s="4">
        <v>1</v>
      </c>
      <c r="J68" s="12" t="s">
        <v>90</v>
      </c>
      <c r="K68" s="2" t="s">
        <v>48</v>
      </c>
      <c r="L68" s="3">
        <v>45608</v>
      </c>
      <c r="M68" s="5">
        <v>45629</v>
      </c>
      <c r="N68" s="18" t="s">
        <v>14</v>
      </c>
      <c r="O68" s="19">
        <f>IF([1]!MasterTable[[#This Row],[المؤشر الفرعي]] &gt; 0, [1]!MasterTable[[#This Row],[المؤشر الفرعي المكتمل]] / [1]!MasterTable[[#This Row],[المؤشر الفرعي]], 0)</f>
        <v>1</v>
      </c>
      <c r="P68" s="19" t="s">
        <v>51</v>
      </c>
      <c r="Q68"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16</v>
      </c>
      <c r="R68" s="6">
        <f>IF([1]!MasterTable[[#This Row],[احتساب عدد أيام التأخير]] &gt; 3, [1]!MasterTable[[#This Row],[احتساب عدد أيام التأخير]] * 3.3 / 100, 0)</f>
        <v>0.52800000000000002</v>
      </c>
      <c r="S68"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16</v>
      </c>
    </row>
    <row r="69" spans="1:19" x14ac:dyDescent="0.25">
      <c r="A69" s="1" t="s">
        <v>52</v>
      </c>
      <c r="B69" s="1" t="s">
        <v>53</v>
      </c>
      <c r="C69" s="14" t="s">
        <v>89</v>
      </c>
      <c r="D69" s="14" t="s">
        <v>55</v>
      </c>
      <c r="E69" s="16">
        <v>0</v>
      </c>
      <c r="F69" s="16">
        <v>0</v>
      </c>
      <c r="G69" s="17" t="s">
        <v>12</v>
      </c>
      <c r="H69" s="15">
        <v>1</v>
      </c>
      <c r="I69" s="20">
        <v>0</v>
      </c>
      <c r="J69" s="17" t="s">
        <v>12</v>
      </c>
      <c r="K69" s="2" t="s">
        <v>48</v>
      </c>
      <c r="L69" s="3">
        <v>45790</v>
      </c>
      <c r="M69" s="3"/>
      <c r="N69" s="1" t="s">
        <v>13</v>
      </c>
      <c r="O69" s="6">
        <f>IF([1]!MasterTable[[#This Row],[المؤشر الفرعي]] &gt; 0, [1]!MasterTable[[#This Row],[المؤشر الفرعي المكتمل]] / [1]!MasterTable[[#This Row],[المؤشر الفرعي]], 0)</f>
        <v>0</v>
      </c>
      <c r="P69" s="6"/>
      <c r="Q69"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69" s="6">
        <f>IF([1]!MasterTable[[#This Row],[احتساب عدد أيام التأخير]] &gt; 3, [1]!MasterTable[[#This Row],[احتساب عدد أيام التأخير]] * 3.3 / 100, 0)</f>
        <v>0</v>
      </c>
      <c r="S69"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70" spans="1:19" x14ac:dyDescent="0.25">
      <c r="A70" s="1" t="s">
        <v>52</v>
      </c>
      <c r="B70" s="1" t="s">
        <v>53</v>
      </c>
      <c r="C70" s="14" t="s">
        <v>89</v>
      </c>
      <c r="D70" s="14" t="s">
        <v>55</v>
      </c>
      <c r="E70" s="16">
        <v>0</v>
      </c>
      <c r="F70" s="16">
        <v>0</v>
      </c>
      <c r="G70" s="17" t="s">
        <v>12</v>
      </c>
      <c r="H70" s="15">
        <v>1</v>
      </c>
      <c r="I70" s="20">
        <v>0</v>
      </c>
      <c r="J70" s="17" t="s">
        <v>12</v>
      </c>
      <c r="K70" s="2" t="s">
        <v>48</v>
      </c>
      <c r="L70" s="3">
        <v>45790</v>
      </c>
      <c r="M70" s="3"/>
      <c r="N70" s="1" t="s">
        <v>13</v>
      </c>
      <c r="O70" s="6">
        <f>IF([1]!MasterTable[[#This Row],[المؤشر الفرعي]] &gt; 0, [1]!MasterTable[[#This Row],[المؤشر الفرعي المكتمل]] / [1]!MasterTable[[#This Row],[المؤشر الفرعي]], 0)</f>
        <v>0</v>
      </c>
      <c r="P70" s="6"/>
      <c r="Q70"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70" s="6">
        <f>IF([1]!MasterTable[[#This Row],[احتساب عدد أيام التأخير]] &gt; 3, [1]!MasterTable[[#This Row],[احتساب عدد أيام التأخير]] * 3.3 / 100, 0)</f>
        <v>0</v>
      </c>
      <c r="S70"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71" spans="1:19" x14ac:dyDescent="0.25">
      <c r="A71" s="1" t="s">
        <v>52</v>
      </c>
      <c r="B71" s="1" t="s">
        <v>53</v>
      </c>
      <c r="C71" s="14" t="s">
        <v>89</v>
      </c>
      <c r="D71" s="14" t="s">
        <v>55</v>
      </c>
      <c r="E71" s="13">
        <v>1</v>
      </c>
      <c r="F71" s="4">
        <v>1</v>
      </c>
      <c r="G71" s="12" t="s">
        <v>10</v>
      </c>
      <c r="H71" s="13">
        <v>1</v>
      </c>
      <c r="I71" s="4">
        <v>1</v>
      </c>
      <c r="J71" s="18" t="s">
        <v>91</v>
      </c>
      <c r="K71" s="2" t="s">
        <v>48</v>
      </c>
      <c r="L71" s="3">
        <v>45790</v>
      </c>
      <c r="M71" s="5">
        <v>45761</v>
      </c>
      <c r="N71" s="18" t="s">
        <v>13</v>
      </c>
      <c r="O71" s="19">
        <f>IF([1]!MasterTable[[#This Row],[المؤشر الفرعي]] &gt; 0, [1]!MasterTable[[#This Row],[المؤشر الفرعي المكتمل]] / [1]!MasterTable[[#This Row],[المؤشر الفرعي]], 0)</f>
        <v>1</v>
      </c>
      <c r="P71" s="19" t="s">
        <v>51</v>
      </c>
      <c r="Q71"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71" s="6">
        <f>IF([1]!MasterTable[[#This Row],[احتساب عدد أيام التأخير]] &gt; 3, [1]!MasterTable[[#This Row],[احتساب عدد أيام التأخير]] * 3.3 / 100, 0)</f>
        <v>0</v>
      </c>
      <c r="S71"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72" spans="1:19" x14ac:dyDescent="0.25">
      <c r="A72" s="1" t="s">
        <v>52</v>
      </c>
      <c r="B72" s="1" t="s">
        <v>53</v>
      </c>
      <c r="C72" s="14" t="s">
        <v>89</v>
      </c>
      <c r="D72" s="14" t="s">
        <v>55</v>
      </c>
      <c r="E72" s="13">
        <v>1</v>
      </c>
      <c r="F72" s="4">
        <v>1</v>
      </c>
      <c r="G72" s="12" t="s">
        <v>77</v>
      </c>
      <c r="H72" s="13">
        <v>1</v>
      </c>
      <c r="I72" s="4">
        <v>1</v>
      </c>
      <c r="J72" s="18" t="s">
        <v>92</v>
      </c>
      <c r="K72" s="2" t="s">
        <v>48</v>
      </c>
      <c r="L72" s="3">
        <v>45694</v>
      </c>
      <c r="M72" s="5">
        <v>45673</v>
      </c>
      <c r="N72" s="18" t="s">
        <v>11</v>
      </c>
      <c r="O72" s="19">
        <f>IF([1]!MasterTable[[#This Row],[المؤشر الفرعي]] &gt; 0, [1]!MasterTable[[#This Row],[المؤشر الفرعي المكتمل]] / [1]!MasterTable[[#This Row],[المؤشر الفرعي]], 0)</f>
        <v>1</v>
      </c>
      <c r="P72" s="19" t="s">
        <v>51</v>
      </c>
      <c r="Q72"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72" s="6">
        <f>IF([1]!MasterTable[[#This Row],[احتساب عدد أيام التأخير]] &gt; 3, [1]!MasterTable[[#This Row],[احتساب عدد أيام التأخير]] * 3.3 / 100, 0)</f>
        <v>0</v>
      </c>
      <c r="S72"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73" spans="1:19" x14ac:dyDescent="0.25">
      <c r="A73" s="1" t="s">
        <v>52</v>
      </c>
      <c r="B73" s="1" t="s">
        <v>53</v>
      </c>
      <c r="C73" s="14" t="s">
        <v>89</v>
      </c>
      <c r="D73" s="14" t="s">
        <v>55</v>
      </c>
      <c r="E73" s="13">
        <v>1</v>
      </c>
      <c r="F73" s="4">
        <v>1</v>
      </c>
      <c r="G73" s="12" t="s">
        <v>10</v>
      </c>
      <c r="H73" s="13">
        <v>1</v>
      </c>
      <c r="I73" s="4">
        <v>1</v>
      </c>
      <c r="J73" s="18" t="s">
        <v>93</v>
      </c>
      <c r="K73" s="2" t="s">
        <v>48</v>
      </c>
      <c r="L73" s="3">
        <v>45790</v>
      </c>
      <c r="M73" s="5">
        <v>45761</v>
      </c>
      <c r="N73" s="18" t="s">
        <v>13</v>
      </c>
      <c r="O73" s="19">
        <f>IF([1]!MasterTable[[#This Row],[المؤشر الفرعي]] &gt; 0, [1]!MasterTable[[#This Row],[المؤشر الفرعي المكتمل]] / [1]!MasterTable[[#This Row],[المؤشر الفرعي]], 0)</f>
        <v>1</v>
      </c>
      <c r="P73" s="19" t="s">
        <v>51</v>
      </c>
      <c r="Q73"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73" s="6">
        <f>IF([1]!MasterTable[[#This Row],[احتساب عدد أيام التأخير]] &gt; 3, [1]!MasterTable[[#This Row],[احتساب عدد أيام التأخير]] * 3.3 / 100, 0)</f>
        <v>0</v>
      </c>
      <c r="S73"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74" spans="1:19" x14ac:dyDescent="0.25">
      <c r="A74" s="1" t="s">
        <v>52</v>
      </c>
      <c r="B74" s="1" t="s">
        <v>53</v>
      </c>
      <c r="C74" s="14" t="s">
        <v>89</v>
      </c>
      <c r="D74" s="14" t="s">
        <v>55</v>
      </c>
      <c r="E74" s="13">
        <v>1</v>
      </c>
      <c r="F74" s="20">
        <v>0</v>
      </c>
      <c r="G74" s="12" t="s">
        <v>77</v>
      </c>
      <c r="H74" s="13">
        <v>1</v>
      </c>
      <c r="I74" s="20">
        <v>0</v>
      </c>
      <c r="J74" s="12" t="s">
        <v>94</v>
      </c>
      <c r="K74" s="2" t="s">
        <v>48</v>
      </c>
      <c r="L74" s="3">
        <v>45790</v>
      </c>
      <c r="M74" s="3"/>
      <c r="N74" s="1" t="s">
        <v>13</v>
      </c>
      <c r="O74" s="6">
        <f>IF([1]!MasterTable[[#This Row],[المؤشر الفرعي]] &gt; 0, [1]!MasterTable[[#This Row],[المؤشر الفرعي المكتمل]] / [1]!MasterTable[[#This Row],[المؤشر الفرعي]], 0)</f>
        <v>0</v>
      </c>
      <c r="P74" s="6"/>
      <c r="Q74"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74" s="6">
        <f>IF([1]!MasterTable[[#This Row],[احتساب عدد أيام التأخير]] &gt; 3, [1]!MasterTable[[#This Row],[احتساب عدد أيام التأخير]] * 3.3 / 100, 0)</f>
        <v>0</v>
      </c>
      <c r="S74"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75" spans="1:19" x14ac:dyDescent="0.25">
      <c r="A75" s="12" t="s">
        <v>52</v>
      </c>
      <c r="B75" s="12" t="s">
        <v>95</v>
      </c>
      <c r="C75" s="12" t="s">
        <v>96</v>
      </c>
      <c r="D75" s="12" t="s">
        <v>97</v>
      </c>
      <c r="E75" s="13">
        <v>1</v>
      </c>
      <c r="F75" s="4">
        <v>1</v>
      </c>
      <c r="G75" s="24" t="s">
        <v>98</v>
      </c>
      <c r="H75" s="2">
        <v>8000</v>
      </c>
      <c r="I75" s="4">
        <v>6728</v>
      </c>
      <c r="J75" s="1" t="s">
        <v>99</v>
      </c>
      <c r="K75" s="2" t="s">
        <v>48</v>
      </c>
      <c r="L75" s="3">
        <v>45608</v>
      </c>
      <c r="M75" s="5">
        <v>45630</v>
      </c>
      <c r="N75" s="1" t="s">
        <v>14</v>
      </c>
      <c r="O75" s="6">
        <f>IF([1]!MasterTable[[#This Row],[المؤشر الفرعي]] &gt; 0, [1]!MasterTable[[#This Row],[المؤشر الفرعي المكتمل]] / [1]!MasterTable[[#This Row],[المؤشر الفرعي]], 0)</f>
        <v>0.84099999999999997</v>
      </c>
      <c r="P75" s="19" t="s">
        <v>51</v>
      </c>
      <c r="Q75"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17</v>
      </c>
      <c r="R75" s="6">
        <f>IF([1]!MasterTable[[#This Row],[احتساب عدد أيام التأخير]] &gt; 3, [1]!MasterTable[[#This Row],[احتساب عدد أيام التأخير]] * 3.3 / 100, 0)</f>
        <v>0.56099999999999994</v>
      </c>
      <c r="S75"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17</v>
      </c>
    </row>
    <row r="76" spans="1:19" x14ac:dyDescent="0.25">
      <c r="A76" s="1" t="s">
        <v>52</v>
      </c>
      <c r="B76" s="1" t="s">
        <v>95</v>
      </c>
      <c r="C76" s="14" t="s">
        <v>96</v>
      </c>
      <c r="D76" s="14" t="s">
        <v>97</v>
      </c>
      <c r="E76" s="15">
        <v>1</v>
      </c>
      <c r="F76" s="2">
        <v>0</v>
      </c>
      <c r="G76" s="1" t="s">
        <v>15</v>
      </c>
      <c r="H76" s="2">
        <v>10</v>
      </c>
      <c r="I76" s="2">
        <v>0</v>
      </c>
      <c r="J76" s="1" t="s">
        <v>100</v>
      </c>
      <c r="K76" s="2" t="s">
        <v>48</v>
      </c>
      <c r="L76" s="25"/>
      <c r="M76" s="3"/>
      <c r="N76" s="26" t="s">
        <v>14</v>
      </c>
      <c r="O76" s="27">
        <f>IF([1]!MasterTable[[#This Row],[المؤشر الفرعي]] &gt; 0, [1]!MasterTable[[#This Row],[المؤشر الفرعي المكتمل]] / [1]!MasterTable[[#This Row],[المؤشر الفرعي]], 0)</f>
        <v>0</v>
      </c>
      <c r="P76" s="27"/>
      <c r="Q76"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76" s="6">
        <f>IF([1]!MasterTable[[#This Row],[احتساب عدد أيام التأخير]] &gt; 3, [1]!MasterTable[[#This Row],[احتساب عدد أيام التأخير]] * 3.3 / 100, 0)</f>
        <v>0</v>
      </c>
      <c r="S76"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77" spans="1:19" x14ac:dyDescent="0.25">
      <c r="A77" s="1" t="s">
        <v>52</v>
      </c>
      <c r="B77" s="1" t="s">
        <v>95</v>
      </c>
      <c r="C77" s="14" t="s">
        <v>96</v>
      </c>
      <c r="D77" s="14" t="s">
        <v>97</v>
      </c>
      <c r="E77" s="15">
        <v>1</v>
      </c>
      <c r="F77" s="2">
        <v>0</v>
      </c>
      <c r="G77" s="1" t="s">
        <v>77</v>
      </c>
      <c r="H77" s="2">
        <v>2</v>
      </c>
      <c r="I77" s="2">
        <v>0</v>
      </c>
      <c r="J77" s="1" t="s">
        <v>101</v>
      </c>
      <c r="K77" s="2" t="s">
        <v>48</v>
      </c>
      <c r="L77" s="25"/>
      <c r="M77" s="3"/>
      <c r="N77" s="26" t="s">
        <v>14</v>
      </c>
      <c r="O77" s="27">
        <f>IF([1]!MasterTable[[#This Row],[المؤشر الفرعي]] &gt; 0, [1]!MasterTable[[#This Row],[المؤشر الفرعي المكتمل]] / [1]!MasterTable[[#This Row],[المؤشر الفرعي]], 0)</f>
        <v>0</v>
      </c>
      <c r="P77" s="27"/>
      <c r="Q77"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77" s="6">
        <f>IF([1]!MasterTable[[#This Row],[احتساب عدد أيام التأخير]] &gt; 3, [1]!MasterTable[[#This Row],[احتساب عدد أيام التأخير]] * 3.3 / 100, 0)</f>
        <v>0</v>
      </c>
      <c r="S77"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78" spans="1:19" x14ac:dyDescent="0.25">
      <c r="A78" s="1" t="s">
        <v>52</v>
      </c>
      <c r="B78" s="1" t="s">
        <v>95</v>
      </c>
      <c r="C78" s="14" t="s">
        <v>96</v>
      </c>
      <c r="D78" s="14" t="s">
        <v>97</v>
      </c>
      <c r="E78" s="15">
        <v>1</v>
      </c>
      <c r="F78" s="2">
        <v>0</v>
      </c>
      <c r="G78" s="1" t="s">
        <v>16</v>
      </c>
      <c r="H78" s="2">
        <v>1000</v>
      </c>
      <c r="I78" s="2">
        <v>0</v>
      </c>
      <c r="J78" s="1" t="s">
        <v>12</v>
      </c>
      <c r="K78" s="2" t="s">
        <v>48</v>
      </c>
      <c r="L78" s="25"/>
      <c r="M78" s="3"/>
      <c r="N78" s="26" t="s">
        <v>14</v>
      </c>
      <c r="O78" s="27">
        <f>IF([1]!MasterTable[[#This Row],[المؤشر الفرعي]] &gt; 0, [1]!MasterTable[[#This Row],[المؤشر الفرعي المكتمل]] / [1]!MasterTable[[#This Row],[المؤشر الفرعي]], 0)</f>
        <v>0</v>
      </c>
      <c r="P78" s="27"/>
      <c r="Q78"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78" s="6">
        <f>IF([1]!MasterTable[[#This Row],[احتساب عدد أيام التأخير]] &gt; 3, [1]!MasterTable[[#This Row],[احتساب عدد أيام التأخير]] * 3.3 / 100, 0)</f>
        <v>0</v>
      </c>
      <c r="S78"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79" spans="1:19" x14ac:dyDescent="0.25">
      <c r="A79" s="1" t="s">
        <v>52</v>
      </c>
      <c r="B79" s="1" t="s">
        <v>95</v>
      </c>
      <c r="C79" s="14" t="s">
        <v>96</v>
      </c>
      <c r="D79" s="14" t="s">
        <v>97</v>
      </c>
      <c r="E79" s="15">
        <v>1</v>
      </c>
      <c r="F79" s="2">
        <v>0</v>
      </c>
      <c r="G79" s="1" t="s">
        <v>102</v>
      </c>
      <c r="H79" s="2">
        <v>2</v>
      </c>
      <c r="I79" s="2">
        <v>0</v>
      </c>
      <c r="J79" s="1" t="s">
        <v>12</v>
      </c>
      <c r="K79" s="2" t="s">
        <v>48</v>
      </c>
      <c r="L79" s="25"/>
      <c r="M79" s="3"/>
      <c r="N79" s="26" t="s">
        <v>14</v>
      </c>
      <c r="O79" s="27">
        <f>IF([1]!MasterTable[[#This Row],[المؤشر الفرعي]] &gt; 0, [1]!MasterTable[[#This Row],[المؤشر الفرعي المكتمل]] / [1]!MasterTable[[#This Row],[المؤشر الفرعي]], 0)</f>
        <v>0</v>
      </c>
      <c r="P79" s="27"/>
      <c r="Q79"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79" s="6">
        <f>IF([1]!MasterTable[[#This Row],[احتساب عدد أيام التأخير]] &gt; 3, [1]!MasterTable[[#This Row],[احتساب عدد أيام التأخير]] * 3.3 / 100, 0)</f>
        <v>0</v>
      </c>
      <c r="S79"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80" spans="1:19" x14ac:dyDescent="0.25">
      <c r="A80" s="1" t="s">
        <v>52</v>
      </c>
      <c r="B80" s="1" t="s">
        <v>95</v>
      </c>
      <c r="C80" s="14" t="s">
        <v>96</v>
      </c>
      <c r="D80" s="14" t="s">
        <v>97</v>
      </c>
      <c r="E80" s="15">
        <v>1</v>
      </c>
      <c r="F80" s="2">
        <v>0</v>
      </c>
      <c r="G80" s="1" t="s">
        <v>103</v>
      </c>
      <c r="H80" s="28">
        <v>0.8</v>
      </c>
      <c r="I80" s="28">
        <v>0</v>
      </c>
      <c r="J80" s="1" t="s">
        <v>104</v>
      </c>
      <c r="K80" s="29" t="s">
        <v>105</v>
      </c>
      <c r="L80" s="25"/>
      <c r="M80" s="3"/>
      <c r="N80" s="26" t="s">
        <v>11</v>
      </c>
      <c r="O80" s="27">
        <f>IF([1]!MasterTable[[#This Row],[المؤشر الفرعي]] &gt; 0, [1]!MasterTable[[#This Row],[المؤشر الفرعي المكتمل]] / [1]!MasterTable[[#This Row],[المؤشر الفرعي]], 0)</f>
        <v>0</v>
      </c>
      <c r="P80" s="27"/>
      <c r="Q80"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80" s="6">
        <f>IF([1]!MasterTable[[#This Row],[احتساب عدد أيام التأخير]] &gt; 3, [1]!MasterTable[[#This Row],[احتساب عدد أيام التأخير]] * 3.3 / 100, 0)</f>
        <v>0</v>
      </c>
      <c r="S80"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81" spans="1:19" x14ac:dyDescent="0.25">
      <c r="A81" s="1" t="s">
        <v>52</v>
      </c>
      <c r="B81" s="1" t="s">
        <v>95</v>
      </c>
      <c r="C81" s="14" t="s">
        <v>96</v>
      </c>
      <c r="D81" s="14" t="s">
        <v>97</v>
      </c>
      <c r="E81" s="15">
        <v>1</v>
      </c>
      <c r="F81" s="2">
        <v>0</v>
      </c>
      <c r="G81" s="1" t="s">
        <v>106</v>
      </c>
      <c r="H81" s="28">
        <v>0.9</v>
      </c>
      <c r="I81" s="30">
        <v>0.7</v>
      </c>
      <c r="J81" s="1" t="s">
        <v>99</v>
      </c>
      <c r="K81" s="29" t="s">
        <v>105</v>
      </c>
      <c r="L81" s="3">
        <v>45608</v>
      </c>
      <c r="M81" s="5">
        <v>45630</v>
      </c>
      <c r="N81" s="1" t="s">
        <v>14</v>
      </c>
      <c r="O81" s="6">
        <f>IF([1]!MasterTable[[#This Row],[المؤشر الفرعي]] &gt; 0, [1]!MasterTable[[#This Row],[المؤشر الفرعي المكتمل]] / [1]!MasterTable[[#This Row],[المؤشر الفرعي]], 0)</f>
        <v>0.77777777777777768</v>
      </c>
      <c r="P81" s="19" t="s">
        <v>51</v>
      </c>
      <c r="Q81"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17</v>
      </c>
      <c r="R81" s="6">
        <f>IF([1]!MasterTable[[#This Row],[احتساب عدد أيام التأخير]] &gt; 3, [1]!MasterTable[[#This Row],[احتساب عدد أيام التأخير]] * 3.3 / 100, 0)</f>
        <v>0.56099999999999994</v>
      </c>
      <c r="S81"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17</v>
      </c>
    </row>
    <row r="82" spans="1:19" x14ac:dyDescent="0.25">
      <c r="A82" s="1" t="s">
        <v>52</v>
      </c>
      <c r="B82" s="1" t="s">
        <v>95</v>
      </c>
      <c r="C82" s="12" t="s">
        <v>107</v>
      </c>
      <c r="D82" s="12" t="s">
        <v>97</v>
      </c>
      <c r="E82" s="13">
        <v>1</v>
      </c>
      <c r="F82" s="2">
        <v>0</v>
      </c>
      <c r="G82" s="1" t="s">
        <v>77</v>
      </c>
      <c r="H82" s="2">
        <v>5</v>
      </c>
      <c r="I82" s="2">
        <v>0</v>
      </c>
      <c r="J82" s="1" t="s">
        <v>108</v>
      </c>
      <c r="K82" s="2" t="s">
        <v>48</v>
      </c>
      <c r="L82" s="25"/>
      <c r="M82" s="3"/>
      <c r="N82" s="26" t="s">
        <v>11</v>
      </c>
      <c r="O82" s="27">
        <f>IF([1]!MasterTable[[#This Row],[المؤشر الفرعي]] &gt; 0, [1]!MasterTable[[#This Row],[المؤشر الفرعي المكتمل]] / [1]!MasterTable[[#This Row],[المؤشر الفرعي]], 0)</f>
        <v>0</v>
      </c>
      <c r="P82" s="27"/>
      <c r="Q82"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82" s="6">
        <f>IF([1]!MasterTable[[#This Row],[احتساب عدد أيام التأخير]] &gt; 3, [1]!MasterTable[[#This Row],[احتساب عدد أيام التأخير]] * 3.3 / 100, 0)</f>
        <v>0</v>
      </c>
      <c r="S82"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83" spans="1:19" x14ac:dyDescent="0.25">
      <c r="A83" s="1" t="s">
        <v>52</v>
      </c>
      <c r="B83" s="1" t="s">
        <v>95</v>
      </c>
      <c r="C83" s="14" t="s">
        <v>107</v>
      </c>
      <c r="D83" s="14" t="s">
        <v>97</v>
      </c>
      <c r="E83" s="15">
        <v>1</v>
      </c>
      <c r="F83" s="2">
        <v>0</v>
      </c>
      <c r="G83" s="1" t="s">
        <v>109</v>
      </c>
      <c r="H83" s="2">
        <v>4</v>
      </c>
      <c r="I83" s="2">
        <v>0</v>
      </c>
      <c r="J83" s="1" t="s">
        <v>12</v>
      </c>
      <c r="K83" s="2" t="s">
        <v>48</v>
      </c>
      <c r="L83" s="25"/>
      <c r="M83" s="3"/>
      <c r="N83" s="26" t="s">
        <v>11</v>
      </c>
      <c r="O83" s="27">
        <f>IF([1]!MasterTable[[#This Row],[المؤشر الفرعي]] &gt; 0, [1]!MasterTable[[#This Row],[المؤشر الفرعي المكتمل]] / [1]!MasterTable[[#This Row],[المؤشر الفرعي]], 0)</f>
        <v>0</v>
      </c>
      <c r="P83" s="27"/>
      <c r="Q83"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83" s="6">
        <f>IF([1]!MasterTable[[#This Row],[احتساب عدد أيام التأخير]] &gt; 3, [1]!MasterTable[[#This Row],[احتساب عدد أيام التأخير]] * 3.3 / 100, 0)</f>
        <v>0</v>
      </c>
      <c r="S83"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84" spans="1:19" x14ac:dyDescent="0.25">
      <c r="A84" s="1" t="s">
        <v>52</v>
      </c>
      <c r="B84" s="1" t="s">
        <v>95</v>
      </c>
      <c r="C84" s="14" t="s">
        <v>107</v>
      </c>
      <c r="D84" s="14" t="s">
        <v>97</v>
      </c>
      <c r="E84" s="15">
        <v>1</v>
      </c>
      <c r="F84" s="2">
        <v>0</v>
      </c>
      <c r="G84" s="1" t="s">
        <v>110</v>
      </c>
      <c r="H84" s="2">
        <v>8</v>
      </c>
      <c r="I84" s="2">
        <v>0</v>
      </c>
      <c r="J84" s="1" t="s">
        <v>12</v>
      </c>
      <c r="K84" s="2" t="s">
        <v>48</v>
      </c>
      <c r="L84" s="25"/>
      <c r="M84" s="3"/>
      <c r="N84" s="26" t="s">
        <v>11</v>
      </c>
      <c r="O84" s="27">
        <f>IF([1]!MasterTable[[#This Row],[المؤشر الفرعي]] &gt; 0, [1]!MasterTable[[#This Row],[المؤشر الفرعي المكتمل]] / [1]!MasterTable[[#This Row],[المؤشر الفرعي]], 0)</f>
        <v>0</v>
      </c>
      <c r="P84" s="27"/>
      <c r="Q84"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84" s="6">
        <f>IF([1]!MasterTable[[#This Row],[احتساب عدد أيام التأخير]] &gt; 3, [1]!MasterTable[[#This Row],[احتساب عدد أيام التأخير]] * 3.3 / 100, 0)</f>
        <v>0</v>
      </c>
      <c r="S84"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85" spans="1:19" x14ac:dyDescent="0.25">
      <c r="A85" s="1" t="s">
        <v>52</v>
      </c>
      <c r="B85" s="1" t="s">
        <v>95</v>
      </c>
      <c r="C85" s="14" t="s">
        <v>107</v>
      </c>
      <c r="D85" s="14" t="s">
        <v>97</v>
      </c>
      <c r="E85" s="15">
        <v>1</v>
      </c>
      <c r="F85" s="2">
        <v>0</v>
      </c>
      <c r="G85" s="1" t="s">
        <v>111</v>
      </c>
      <c r="H85" s="2">
        <v>15</v>
      </c>
      <c r="I85" s="2">
        <v>0</v>
      </c>
      <c r="J85" s="1" t="s">
        <v>12</v>
      </c>
      <c r="K85" s="2" t="s">
        <v>48</v>
      </c>
      <c r="L85" s="25"/>
      <c r="M85" s="3"/>
      <c r="N85" s="26" t="s">
        <v>11</v>
      </c>
      <c r="O85" s="27">
        <f>IF([1]!MasterTable[[#This Row],[المؤشر الفرعي]] &gt; 0, [1]!MasterTable[[#This Row],[المؤشر الفرعي المكتمل]] / [1]!MasterTable[[#This Row],[المؤشر الفرعي]], 0)</f>
        <v>0</v>
      </c>
      <c r="P85" s="27"/>
      <c r="Q85"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85" s="6">
        <f>IF([1]!MasterTable[[#This Row],[احتساب عدد أيام التأخير]] &gt; 3, [1]!MasterTable[[#This Row],[احتساب عدد أيام التأخير]] * 3.3 / 100, 0)</f>
        <v>0</v>
      </c>
      <c r="S85"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86" spans="1:19" x14ac:dyDescent="0.25">
      <c r="A86" s="1" t="s">
        <v>52</v>
      </c>
      <c r="B86" s="1" t="s">
        <v>95</v>
      </c>
      <c r="C86" s="14" t="s">
        <v>107</v>
      </c>
      <c r="D86" s="14" t="s">
        <v>97</v>
      </c>
      <c r="E86" s="15">
        <v>1</v>
      </c>
      <c r="F86" s="2">
        <v>0</v>
      </c>
      <c r="G86" s="1" t="s">
        <v>112</v>
      </c>
      <c r="H86" s="2">
        <v>100</v>
      </c>
      <c r="I86" s="2">
        <v>0</v>
      </c>
      <c r="J86" s="1" t="s">
        <v>113</v>
      </c>
      <c r="K86" s="2" t="s">
        <v>48</v>
      </c>
      <c r="L86" s="25"/>
      <c r="M86" s="3"/>
      <c r="N86" s="26" t="s">
        <v>11</v>
      </c>
      <c r="O86" s="27">
        <f>IF([1]!MasterTable[[#This Row],[المؤشر الفرعي]] &gt; 0, [1]!MasterTable[[#This Row],[المؤشر الفرعي المكتمل]] / [1]!MasterTable[[#This Row],[المؤشر الفرعي]], 0)</f>
        <v>0</v>
      </c>
      <c r="P86" s="27"/>
      <c r="Q86"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86" s="6">
        <f>IF([1]!MasterTable[[#This Row],[احتساب عدد أيام التأخير]] &gt; 3, [1]!MasterTable[[#This Row],[احتساب عدد أيام التأخير]] * 3.3 / 100, 0)</f>
        <v>0</v>
      </c>
      <c r="S86"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87" spans="1:19" x14ac:dyDescent="0.25">
      <c r="A87" s="1" t="s">
        <v>52</v>
      </c>
      <c r="B87" s="1" t="s">
        <v>95</v>
      </c>
      <c r="C87" s="14" t="s">
        <v>107</v>
      </c>
      <c r="D87" s="14" t="s">
        <v>97</v>
      </c>
      <c r="E87" s="15">
        <v>1</v>
      </c>
      <c r="F87" s="2">
        <v>0</v>
      </c>
      <c r="G87" s="1" t="s">
        <v>114</v>
      </c>
      <c r="H87" s="28">
        <v>0.95</v>
      </c>
      <c r="I87" s="28">
        <v>0</v>
      </c>
      <c r="J87" s="1" t="s">
        <v>12</v>
      </c>
      <c r="K87" s="29" t="s">
        <v>105</v>
      </c>
      <c r="L87" s="25"/>
      <c r="M87" s="3"/>
      <c r="N87" s="26" t="s">
        <v>11</v>
      </c>
      <c r="O87" s="27">
        <f>IF([1]!MasterTable[[#This Row],[المؤشر الفرعي]] &gt; 0, [1]!MasterTable[[#This Row],[المؤشر الفرعي المكتمل]] / [1]!MasterTable[[#This Row],[المؤشر الفرعي]], 0)</f>
        <v>0</v>
      </c>
      <c r="P87" s="27"/>
      <c r="Q87"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87" s="6">
        <f>IF([1]!MasterTable[[#This Row],[احتساب عدد أيام التأخير]] &gt; 3, [1]!MasterTable[[#This Row],[احتساب عدد أيام التأخير]] * 3.3 / 100, 0)</f>
        <v>0</v>
      </c>
      <c r="S87"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88" spans="1:19" x14ac:dyDescent="0.25">
      <c r="A88" s="1" t="s">
        <v>52</v>
      </c>
      <c r="B88" s="1" t="s">
        <v>95</v>
      </c>
      <c r="C88" s="14" t="s">
        <v>107</v>
      </c>
      <c r="D88" s="14" t="s">
        <v>97</v>
      </c>
      <c r="E88" s="15">
        <v>1</v>
      </c>
      <c r="F88" s="2">
        <v>0</v>
      </c>
      <c r="G88" s="1" t="s">
        <v>115</v>
      </c>
      <c r="H88" s="28">
        <v>0.9</v>
      </c>
      <c r="I88" s="28">
        <v>0</v>
      </c>
      <c r="J88" s="1" t="s">
        <v>12</v>
      </c>
      <c r="K88" s="29" t="s">
        <v>105</v>
      </c>
      <c r="L88" s="25"/>
      <c r="M88" s="3"/>
      <c r="N88" s="26" t="s">
        <v>11</v>
      </c>
      <c r="O88" s="27">
        <f>IF([1]!MasterTable[[#This Row],[المؤشر الفرعي]] &gt; 0, [1]!MasterTable[[#This Row],[المؤشر الفرعي المكتمل]] / [1]!MasterTable[[#This Row],[المؤشر الفرعي]], 0)</f>
        <v>0</v>
      </c>
      <c r="P88" s="27"/>
      <c r="Q88"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88" s="6">
        <f>IF([1]!MasterTable[[#This Row],[احتساب عدد أيام التأخير]] &gt; 3, [1]!MasterTable[[#This Row],[احتساب عدد أيام التأخير]] * 3.3 / 100, 0)</f>
        <v>0</v>
      </c>
      <c r="S88"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89" spans="1:19" x14ac:dyDescent="0.25">
      <c r="A89" s="1" t="s">
        <v>52</v>
      </c>
      <c r="B89" s="1" t="s">
        <v>95</v>
      </c>
      <c r="C89" s="12" t="s">
        <v>116</v>
      </c>
      <c r="D89" s="12" t="s">
        <v>97</v>
      </c>
      <c r="E89" s="13">
        <v>1</v>
      </c>
      <c r="F89" s="2">
        <v>0</v>
      </c>
      <c r="G89" s="1" t="s">
        <v>117</v>
      </c>
      <c r="H89" s="28">
        <v>0.9</v>
      </c>
      <c r="I89" s="28">
        <v>0</v>
      </c>
      <c r="J89" s="1" t="s">
        <v>12</v>
      </c>
      <c r="K89" s="29" t="s">
        <v>105</v>
      </c>
      <c r="L89" s="25"/>
      <c r="M89" s="3"/>
      <c r="N89" s="26" t="s">
        <v>11</v>
      </c>
      <c r="O89" s="27">
        <f>IF([1]!MasterTable[[#This Row],[المؤشر الفرعي]] &gt; 0, [1]!MasterTable[[#This Row],[المؤشر الفرعي المكتمل]] / [1]!MasterTable[[#This Row],[المؤشر الفرعي]], 0)</f>
        <v>0</v>
      </c>
      <c r="P89" s="27"/>
      <c r="Q89"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89" s="6">
        <f>IF([1]!MasterTable[[#This Row],[احتساب عدد أيام التأخير]] &gt; 3, [1]!MasterTable[[#This Row],[احتساب عدد أيام التأخير]] * 3.3 / 100, 0)</f>
        <v>0</v>
      </c>
      <c r="S89"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90" spans="1:19" x14ac:dyDescent="0.25">
      <c r="A90" s="1" t="s">
        <v>52</v>
      </c>
      <c r="B90" s="1" t="s">
        <v>95</v>
      </c>
      <c r="C90" s="12" t="s">
        <v>118</v>
      </c>
      <c r="D90" s="12" t="s">
        <v>97</v>
      </c>
      <c r="E90" s="13">
        <v>1</v>
      </c>
      <c r="F90" s="4">
        <v>1</v>
      </c>
      <c r="G90" s="1" t="s">
        <v>77</v>
      </c>
      <c r="H90" s="2">
        <v>1</v>
      </c>
      <c r="I90" s="2">
        <v>0</v>
      </c>
      <c r="J90" s="1" t="s">
        <v>119</v>
      </c>
      <c r="K90" s="2" t="s">
        <v>48</v>
      </c>
      <c r="L90" s="25"/>
      <c r="M90" s="3"/>
      <c r="N90" s="26" t="s">
        <v>14</v>
      </c>
      <c r="O90" s="27">
        <f>IF([1]!MasterTable[[#This Row],[المؤشر الفرعي]] &gt; 0, [1]!MasterTable[[#This Row],[المؤشر الفرعي المكتمل]] / [1]!MasterTable[[#This Row],[المؤشر الفرعي]], 0)</f>
        <v>0</v>
      </c>
      <c r="P90" s="27"/>
      <c r="Q90"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90" s="6">
        <f>IF([1]!MasterTable[[#This Row],[احتساب عدد أيام التأخير]] &gt; 3, [1]!MasterTable[[#This Row],[احتساب عدد أيام التأخير]] * 3.3 / 100, 0)</f>
        <v>0</v>
      </c>
      <c r="S90"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91" spans="1:19" x14ac:dyDescent="0.25">
      <c r="A91" s="1" t="s">
        <v>52</v>
      </c>
      <c r="B91" s="1" t="s">
        <v>95</v>
      </c>
      <c r="C91" s="14" t="s">
        <v>118</v>
      </c>
      <c r="D91" s="14" t="s">
        <v>97</v>
      </c>
      <c r="E91" s="15">
        <v>1</v>
      </c>
      <c r="F91" s="2">
        <v>0</v>
      </c>
      <c r="G91" s="1" t="s">
        <v>120</v>
      </c>
      <c r="H91" s="2">
        <v>10</v>
      </c>
      <c r="I91" s="4">
        <v>3</v>
      </c>
      <c r="J91" s="1" t="s">
        <v>119</v>
      </c>
      <c r="K91" s="2" t="s">
        <v>48</v>
      </c>
      <c r="L91" s="3">
        <v>45608</v>
      </c>
      <c r="M91" s="5">
        <v>45630</v>
      </c>
      <c r="N91" s="1" t="s">
        <v>14</v>
      </c>
      <c r="O91" s="6">
        <f>IF([1]!MasterTable[[#This Row],[المؤشر الفرعي]] &gt; 0, [1]!MasterTable[[#This Row],[المؤشر الفرعي المكتمل]] / [1]!MasterTable[[#This Row],[المؤشر الفرعي]], 0)</f>
        <v>0.3</v>
      </c>
      <c r="P91" s="19" t="s">
        <v>51</v>
      </c>
      <c r="Q91"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17</v>
      </c>
      <c r="R91" s="6">
        <f>IF([1]!MasterTable[[#This Row],[احتساب عدد أيام التأخير]] &gt; 3, [1]!MasterTable[[#This Row],[احتساب عدد أيام التأخير]] * 3.3 / 100, 0)</f>
        <v>0.56099999999999994</v>
      </c>
      <c r="S91"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17</v>
      </c>
    </row>
    <row r="92" spans="1:19" x14ac:dyDescent="0.25">
      <c r="A92" s="1" t="s">
        <v>52</v>
      </c>
      <c r="B92" s="1" t="s">
        <v>95</v>
      </c>
      <c r="C92" s="14" t="s">
        <v>118</v>
      </c>
      <c r="D92" s="14" t="s">
        <v>97</v>
      </c>
      <c r="E92" s="15">
        <v>1</v>
      </c>
      <c r="F92" s="2">
        <v>0</v>
      </c>
      <c r="G92" s="1" t="s">
        <v>74</v>
      </c>
      <c r="H92" s="2">
        <v>4</v>
      </c>
      <c r="I92" s="4">
        <v>23</v>
      </c>
      <c r="J92" s="1" t="s">
        <v>119</v>
      </c>
      <c r="K92" s="2" t="s">
        <v>48</v>
      </c>
      <c r="L92" s="3">
        <v>45608</v>
      </c>
      <c r="M92" s="5">
        <v>45630</v>
      </c>
      <c r="N92" s="1" t="s">
        <v>14</v>
      </c>
      <c r="O92" s="6">
        <f>IF([1]!MasterTable[[#This Row],[المؤشر الفرعي]] &gt; 0, [1]!MasterTable[[#This Row],[المؤشر الفرعي المكتمل]] / [1]!MasterTable[[#This Row],[المؤشر الفرعي]], 0)</f>
        <v>5.75</v>
      </c>
      <c r="P92" s="19" t="s">
        <v>51</v>
      </c>
      <c r="Q92"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17</v>
      </c>
      <c r="R92" s="6">
        <f>IF([1]!MasterTable[[#This Row],[احتساب عدد أيام التأخير]] &gt; 3, [1]!MasterTable[[#This Row],[احتساب عدد أيام التأخير]] * 3.3 / 100, 0)</f>
        <v>0.56099999999999994</v>
      </c>
      <c r="S92"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17</v>
      </c>
    </row>
    <row r="93" spans="1:19" x14ac:dyDescent="0.25">
      <c r="A93" s="1" t="s">
        <v>52</v>
      </c>
      <c r="B93" s="1" t="s">
        <v>95</v>
      </c>
      <c r="C93" s="14" t="s">
        <v>118</v>
      </c>
      <c r="D93" s="14" t="s">
        <v>97</v>
      </c>
      <c r="E93" s="15">
        <v>1</v>
      </c>
      <c r="F93" s="2">
        <v>0</v>
      </c>
      <c r="G93" s="1" t="s">
        <v>74</v>
      </c>
      <c r="H93" s="2">
        <v>2</v>
      </c>
      <c r="I93" s="4">
        <v>2</v>
      </c>
      <c r="J93" s="1" t="s">
        <v>119</v>
      </c>
      <c r="K93" s="2" t="s">
        <v>48</v>
      </c>
      <c r="L93" s="3">
        <v>45608</v>
      </c>
      <c r="M93" s="5">
        <v>45630</v>
      </c>
      <c r="N93" s="1" t="s">
        <v>14</v>
      </c>
      <c r="O93" s="6">
        <f>IF([1]!MasterTable[[#This Row],[المؤشر الفرعي]] &gt; 0, [1]!MasterTable[[#This Row],[المؤشر الفرعي المكتمل]] / [1]!MasterTable[[#This Row],[المؤشر الفرعي]], 0)</f>
        <v>1</v>
      </c>
      <c r="P93" s="19" t="s">
        <v>51</v>
      </c>
      <c r="Q93"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17</v>
      </c>
      <c r="R93" s="6">
        <f>IF([1]!MasterTable[[#This Row],[احتساب عدد أيام التأخير]] &gt; 3, [1]!MasterTable[[#This Row],[احتساب عدد أيام التأخير]] * 3.3 / 100, 0)</f>
        <v>0.56099999999999994</v>
      </c>
      <c r="S93"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17</v>
      </c>
    </row>
    <row r="94" spans="1:19" x14ac:dyDescent="0.25">
      <c r="A94" s="1" t="s">
        <v>52</v>
      </c>
      <c r="B94" s="1" t="s">
        <v>95</v>
      </c>
      <c r="C94" s="12" t="s">
        <v>121</v>
      </c>
      <c r="D94" s="12" t="s">
        <v>97</v>
      </c>
      <c r="E94" s="13">
        <v>1</v>
      </c>
      <c r="F94" s="2">
        <v>0</v>
      </c>
      <c r="G94" s="1" t="s">
        <v>122</v>
      </c>
      <c r="H94" s="2">
        <v>1</v>
      </c>
      <c r="I94" s="2">
        <v>0</v>
      </c>
      <c r="J94" s="1" t="s">
        <v>12</v>
      </c>
      <c r="K94" s="2" t="s">
        <v>48</v>
      </c>
      <c r="L94" s="25"/>
      <c r="M94" s="3"/>
      <c r="N94" s="26" t="s">
        <v>13</v>
      </c>
      <c r="O94" s="27">
        <f>IF([1]!MasterTable[[#This Row],[المؤشر الفرعي]] &gt; 0, [1]!MasterTable[[#This Row],[المؤشر الفرعي المكتمل]] / [1]!MasterTable[[#This Row],[المؤشر الفرعي]], 0)</f>
        <v>0</v>
      </c>
      <c r="P94" s="27"/>
      <c r="Q94"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94" s="6">
        <f>IF([1]!MasterTable[[#This Row],[احتساب عدد أيام التأخير]] &gt; 3, [1]!MasterTable[[#This Row],[احتساب عدد أيام التأخير]] * 3.3 / 100, 0)</f>
        <v>0</v>
      </c>
      <c r="S94"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95" spans="1:19" x14ac:dyDescent="0.25">
      <c r="A95" s="1" t="s">
        <v>52</v>
      </c>
      <c r="B95" s="1" t="s">
        <v>95</v>
      </c>
      <c r="C95" s="14" t="s">
        <v>121</v>
      </c>
      <c r="D95" s="14" t="s">
        <v>97</v>
      </c>
      <c r="E95" s="15">
        <v>1</v>
      </c>
      <c r="F95" s="2">
        <v>0</v>
      </c>
      <c r="G95" s="1" t="s">
        <v>102</v>
      </c>
      <c r="H95" s="2">
        <v>1</v>
      </c>
      <c r="I95" s="2">
        <v>0</v>
      </c>
      <c r="J95" s="1" t="s">
        <v>12</v>
      </c>
      <c r="K95" s="2" t="s">
        <v>48</v>
      </c>
      <c r="L95" s="25"/>
      <c r="M95" s="3"/>
      <c r="N95" s="26" t="s">
        <v>13</v>
      </c>
      <c r="O95" s="27">
        <f>IF([1]!MasterTable[[#This Row],[المؤشر الفرعي]] &gt; 0, [1]!MasterTable[[#This Row],[المؤشر الفرعي المكتمل]] / [1]!MasterTable[[#This Row],[المؤشر الفرعي]], 0)</f>
        <v>0</v>
      </c>
      <c r="P95" s="27"/>
      <c r="Q95"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95" s="6">
        <f>IF([1]!MasterTable[[#This Row],[احتساب عدد أيام التأخير]] &gt; 3, [1]!MasterTable[[#This Row],[احتساب عدد أيام التأخير]] * 3.3 / 100, 0)</f>
        <v>0</v>
      </c>
      <c r="S95"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96" spans="1:19" x14ac:dyDescent="0.25">
      <c r="A96" s="1" t="s">
        <v>52</v>
      </c>
      <c r="B96" s="1" t="s">
        <v>95</v>
      </c>
      <c r="C96" s="12" t="s">
        <v>123</v>
      </c>
      <c r="D96" s="12" t="s">
        <v>97</v>
      </c>
      <c r="E96" s="13">
        <v>1</v>
      </c>
      <c r="F96" s="2">
        <v>0</v>
      </c>
      <c r="G96" s="1" t="s">
        <v>124</v>
      </c>
      <c r="H96" s="28">
        <v>0.9</v>
      </c>
      <c r="I96" s="28">
        <v>0</v>
      </c>
      <c r="J96" s="1" t="s">
        <v>12</v>
      </c>
      <c r="K96" s="29" t="s">
        <v>105</v>
      </c>
      <c r="L96" s="25"/>
      <c r="M96" s="3"/>
      <c r="N96" s="26" t="s">
        <v>13</v>
      </c>
      <c r="O96" s="27">
        <f>IF([1]!MasterTable[[#This Row],[المؤشر الفرعي]] &gt; 0, [1]!MasterTable[[#This Row],[المؤشر الفرعي المكتمل]] / [1]!MasterTable[[#This Row],[المؤشر الفرعي]], 0)</f>
        <v>0</v>
      </c>
      <c r="P96" s="27"/>
      <c r="Q96"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96" s="6">
        <f>IF([1]!MasterTable[[#This Row],[احتساب عدد أيام التأخير]] &gt; 3, [1]!MasterTable[[#This Row],[احتساب عدد أيام التأخير]] * 3.3 / 100, 0)</f>
        <v>0</v>
      </c>
      <c r="S96"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97" spans="1:19" x14ac:dyDescent="0.25">
      <c r="A97" s="1" t="s">
        <v>52</v>
      </c>
      <c r="B97" s="1" t="s">
        <v>95</v>
      </c>
      <c r="C97" s="12" t="s">
        <v>125</v>
      </c>
      <c r="D97" s="12" t="s">
        <v>97</v>
      </c>
      <c r="E97" s="13">
        <v>1</v>
      </c>
      <c r="F97" s="2">
        <v>0</v>
      </c>
      <c r="G97" s="1" t="s">
        <v>10</v>
      </c>
      <c r="H97" s="2">
        <v>1</v>
      </c>
      <c r="I97" s="2">
        <v>0</v>
      </c>
      <c r="J97" s="1" t="s">
        <v>12</v>
      </c>
      <c r="K97" s="2" t="s">
        <v>48</v>
      </c>
      <c r="L97" s="25"/>
      <c r="M97" s="3"/>
      <c r="N97" s="26" t="s">
        <v>13</v>
      </c>
      <c r="O97" s="27">
        <f>IF([1]!MasterTable[[#This Row],[المؤشر الفرعي]] &gt; 0, [1]!MasterTable[[#This Row],[المؤشر الفرعي المكتمل]] / [1]!MasterTable[[#This Row],[المؤشر الفرعي]], 0)</f>
        <v>0</v>
      </c>
      <c r="P97" s="27"/>
      <c r="Q97"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97" s="6">
        <f>IF([1]!MasterTable[[#This Row],[احتساب عدد أيام التأخير]] &gt; 3, [1]!MasterTable[[#This Row],[احتساب عدد أيام التأخير]] * 3.3 / 100, 0)</f>
        <v>0</v>
      </c>
      <c r="S97"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98" spans="1:19" x14ac:dyDescent="0.25">
      <c r="A98" s="12" t="s">
        <v>17</v>
      </c>
      <c r="B98" s="12" t="s">
        <v>18</v>
      </c>
      <c r="C98" s="12" t="s">
        <v>126</v>
      </c>
      <c r="D98" s="12" t="s">
        <v>127</v>
      </c>
      <c r="E98" s="13">
        <v>1</v>
      </c>
      <c r="F98" s="20">
        <v>0</v>
      </c>
      <c r="G98" s="12" t="s">
        <v>19</v>
      </c>
      <c r="H98" s="13">
        <v>3</v>
      </c>
      <c r="I98" s="20">
        <v>0</v>
      </c>
      <c r="J98" s="12" t="s">
        <v>128</v>
      </c>
      <c r="K98" s="2" t="s">
        <v>48</v>
      </c>
      <c r="L98" s="3">
        <v>45790</v>
      </c>
      <c r="M98" s="3"/>
      <c r="N98" s="1" t="s">
        <v>13</v>
      </c>
      <c r="O98" s="6">
        <f>IF([1]!MasterTable[[#This Row],[المؤشر الفرعي]] &gt; 0, [1]!MasterTable[[#This Row],[المؤشر الفرعي المكتمل]] / [1]!MasterTable[[#This Row],[المؤشر الفرعي]], 0)</f>
        <v>0</v>
      </c>
      <c r="P98" s="6"/>
      <c r="Q98"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98" s="6">
        <f>IF([1]!MasterTable[[#This Row],[احتساب عدد أيام التأخير]] &gt; 3, [1]!MasterTable[[#This Row],[احتساب عدد أيام التأخير]] * 3.3 / 100, 0)</f>
        <v>0</v>
      </c>
      <c r="S98"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99" spans="1:19" x14ac:dyDescent="0.25">
      <c r="A99" s="1" t="s">
        <v>17</v>
      </c>
      <c r="B99" s="1" t="s">
        <v>18</v>
      </c>
      <c r="C99" s="12" t="s">
        <v>129</v>
      </c>
      <c r="D99" s="12" t="s">
        <v>127</v>
      </c>
      <c r="E99" s="13">
        <v>1</v>
      </c>
      <c r="F99" s="20">
        <v>0</v>
      </c>
      <c r="G99" s="12" t="s">
        <v>112</v>
      </c>
      <c r="H99" s="13">
        <v>200</v>
      </c>
      <c r="I99" s="20">
        <v>0</v>
      </c>
      <c r="J99" s="12" t="s">
        <v>130</v>
      </c>
      <c r="K99" s="2" t="s">
        <v>48</v>
      </c>
      <c r="L99" s="3">
        <v>45666</v>
      </c>
      <c r="M99" s="3"/>
      <c r="N99" s="1" t="s">
        <v>11</v>
      </c>
      <c r="O99" s="6">
        <f>IF([1]!MasterTable[[#This Row],[المؤشر الفرعي]] &gt; 0, [1]!MasterTable[[#This Row],[المؤشر الفرعي المكتمل]] / [1]!MasterTable[[#This Row],[المؤشر الفرعي]], 0)</f>
        <v>0</v>
      </c>
      <c r="P99" s="6"/>
      <c r="Q99"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99" s="6">
        <f>IF([1]!MasterTable[[#This Row],[احتساب عدد أيام التأخير]] &gt; 3, [1]!MasterTable[[#This Row],[احتساب عدد أيام التأخير]] * 3.3 / 100, 0)</f>
        <v>0</v>
      </c>
      <c r="S99"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00" spans="1:19" x14ac:dyDescent="0.25">
      <c r="A100" s="1" t="s">
        <v>17</v>
      </c>
      <c r="B100" s="1" t="s">
        <v>18</v>
      </c>
      <c r="C100" s="14" t="s">
        <v>129</v>
      </c>
      <c r="D100" s="14" t="s">
        <v>127</v>
      </c>
      <c r="E100" s="13">
        <v>1</v>
      </c>
      <c r="F100" s="20">
        <v>0</v>
      </c>
      <c r="G100" s="12" t="s">
        <v>131</v>
      </c>
      <c r="H100" s="31">
        <v>0.7</v>
      </c>
      <c r="I100" s="32">
        <v>0</v>
      </c>
      <c r="J100" s="14" t="s">
        <v>132</v>
      </c>
      <c r="K100" s="29" t="s">
        <v>105</v>
      </c>
      <c r="L100" s="3">
        <v>45790</v>
      </c>
      <c r="M100" s="3"/>
      <c r="N100" s="1" t="s">
        <v>13</v>
      </c>
      <c r="O100" s="6">
        <f>IF([1]!MasterTable[[#This Row],[المؤشر الفرعي]] &gt; 0, [1]!MasterTable[[#This Row],[المؤشر الفرعي المكتمل]] / [1]!MasterTable[[#This Row],[المؤشر الفرعي]], 0)</f>
        <v>0</v>
      </c>
      <c r="P100" s="6"/>
      <c r="Q100"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00" s="6">
        <f>IF([1]!MasterTable[[#This Row],[احتساب عدد أيام التأخير]] &gt; 3, [1]!MasterTable[[#This Row],[احتساب عدد أيام التأخير]] * 3.3 / 100, 0)</f>
        <v>0</v>
      </c>
      <c r="S100"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01" spans="1:19" x14ac:dyDescent="0.25">
      <c r="A101" s="1" t="s">
        <v>17</v>
      </c>
      <c r="B101" s="1" t="s">
        <v>18</v>
      </c>
      <c r="C101" s="14" t="s">
        <v>129</v>
      </c>
      <c r="D101" s="14" t="s">
        <v>127</v>
      </c>
      <c r="E101" s="13">
        <v>1</v>
      </c>
      <c r="F101" s="20">
        <v>0</v>
      </c>
      <c r="G101" s="12" t="s">
        <v>133</v>
      </c>
      <c r="H101" s="31">
        <v>0.8</v>
      </c>
      <c r="I101" s="32">
        <v>0</v>
      </c>
      <c r="J101" s="17" t="s">
        <v>12</v>
      </c>
      <c r="K101" s="29" t="s">
        <v>105</v>
      </c>
      <c r="L101" s="3">
        <v>45790</v>
      </c>
      <c r="M101" s="3"/>
      <c r="N101" s="1" t="s">
        <v>13</v>
      </c>
      <c r="O101" s="6">
        <f>IF([1]!MasterTable[[#This Row],[المؤشر الفرعي]] &gt; 0, [1]!MasterTable[[#This Row],[المؤشر الفرعي المكتمل]] / [1]!MasterTable[[#This Row],[المؤشر الفرعي]], 0)</f>
        <v>0</v>
      </c>
      <c r="P101" s="6"/>
      <c r="Q101"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01" s="6">
        <f>IF([1]!MasterTable[[#This Row],[احتساب عدد أيام التأخير]] &gt; 3, [1]!MasterTable[[#This Row],[احتساب عدد أيام التأخير]] * 3.3 / 100, 0)</f>
        <v>0</v>
      </c>
      <c r="S101"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02" spans="1:19" x14ac:dyDescent="0.25">
      <c r="A102" s="1" t="s">
        <v>17</v>
      </c>
      <c r="B102" s="1" t="s">
        <v>18</v>
      </c>
      <c r="C102" s="12" t="s">
        <v>134</v>
      </c>
      <c r="D102" s="12" t="s">
        <v>127</v>
      </c>
      <c r="E102" s="13">
        <v>1</v>
      </c>
      <c r="F102" s="20">
        <v>0</v>
      </c>
      <c r="G102" s="12" t="s">
        <v>122</v>
      </c>
      <c r="H102" s="13">
        <v>1</v>
      </c>
      <c r="I102" s="20">
        <v>0</v>
      </c>
      <c r="J102" s="14" t="s">
        <v>128</v>
      </c>
      <c r="K102" s="2" t="s">
        <v>48</v>
      </c>
      <c r="L102" s="3">
        <v>45790</v>
      </c>
      <c r="M102" s="3"/>
      <c r="N102" s="1" t="s">
        <v>13</v>
      </c>
      <c r="O102" s="6">
        <f>IF([1]!MasterTable[[#This Row],[المؤشر الفرعي]] &gt; 0, [1]!MasterTable[[#This Row],[المؤشر الفرعي المكتمل]] / [1]!MasterTable[[#This Row],[المؤشر الفرعي]], 0)</f>
        <v>0</v>
      </c>
      <c r="P102" s="6"/>
      <c r="Q102"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02" s="6">
        <f>IF([1]!MasterTable[[#This Row],[احتساب عدد أيام التأخير]] &gt; 3, [1]!MasterTable[[#This Row],[احتساب عدد أيام التأخير]] * 3.3 / 100, 0)</f>
        <v>0</v>
      </c>
      <c r="S102"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03" spans="1:19" x14ac:dyDescent="0.25">
      <c r="A103" s="1" t="s">
        <v>17</v>
      </c>
      <c r="B103" s="1" t="s">
        <v>18</v>
      </c>
      <c r="C103" s="14" t="s">
        <v>134</v>
      </c>
      <c r="D103" s="14" t="s">
        <v>127</v>
      </c>
      <c r="E103" s="13">
        <v>1</v>
      </c>
      <c r="F103" s="20">
        <v>0</v>
      </c>
      <c r="G103" s="12" t="s">
        <v>135</v>
      </c>
      <c r="H103" s="31">
        <v>0.8</v>
      </c>
      <c r="I103" s="32">
        <v>0</v>
      </c>
      <c r="J103" s="17" t="s">
        <v>12</v>
      </c>
      <c r="K103" s="29" t="s">
        <v>105</v>
      </c>
      <c r="L103" s="3">
        <v>45790</v>
      </c>
      <c r="M103" s="3"/>
      <c r="N103" s="1" t="s">
        <v>13</v>
      </c>
      <c r="O103" s="6">
        <f>IF([1]!MasterTable[[#This Row],[المؤشر الفرعي]] &gt; 0, [1]!MasterTable[[#This Row],[المؤشر الفرعي المكتمل]] / [1]!MasterTable[[#This Row],[المؤشر الفرعي]], 0)</f>
        <v>0</v>
      </c>
      <c r="P103" s="6"/>
      <c r="Q103"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03" s="6">
        <f>IF([1]!MasterTable[[#This Row],[احتساب عدد أيام التأخير]] &gt; 3, [1]!MasterTable[[#This Row],[احتساب عدد أيام التأخير]] * 3.3 / 100, 0)</f>
        <v>0</v>
      </c>
      <c r="S103"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04" spans="1:19" x14ac:dyDescent="0.25">
      <c r="A104" s="1"/>
      <c r="B104" s="1"/>
      <c r="C104" s="14" t="s">
        <v>134</v>
      </c>
      <c r="D104" s="14" t="s">
        <v>127</v>
      </c>
      <c r="E104" s="13">
        <v>1</v>
      </c>
      <c r="F104" s="20">
        <v>0</v>
      </c>
      <c r="G104" s="12" t="s">
        <v>136</v>
      </c>
      <c r="H104" s="33">
        <v>0</v>
      </c>
      <c r="I104" s="34">
        <v>0</v>
      </c>
      <c r="J104" s="17" t="s">
        <v>12</v>
      </c>
      <c r="K104" s="2" t="s">
        <v>48</v>
      </c>
      <c r="L104" s="3">
        <v>45790</v>
      </c>
      <c r="M104" s="3"/>
      <c r="N104" s="1" t="s">
        <v>13</v>
      </c>
      <c r="O104" s="6">
        <f>IF([1]!MasterTable[[#This Row],[المؤشر الفرعي]] &gt; 0, [1]!MasterTable[[#This Row],[المؤشر الفرعي المكتمل]] / [1]!MasterTable[[#This Row],[المؤشر الفرعي]], 0)</f>
        <v>0</v>
      </c>
      <c r="P104" s="6"/>
      <c r="Q104"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04" s="6">
        <f>IF([1]!MasterTable[[#This Row],[احتساب عدد أيام التأخير]] &gt; 3, [1]!MasterTable[[#This Row],[احتساب عدد أيام التأخير]] * 3.3 / 100, 0)</f>
        <v>0</v>
      </c>
      <c r="S104"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05" spans="1:19" x14ac:dyDescent="0.25">
      <c r="A105" s="1" t="s">
        <v>17</v>
      </c>
      <c r="B105" s="1" t="s">
        <v>18</v>
      </c>
      <c r="C105" s="12" t="s">
        <v>137</v>
      </c>
      <c r="D105" s="12" t="s">
        <v>127</v>
      </c>
      <c r="E105" s="13">
        <v>1</v>
      </c>
      <c r="F105" s="4">
        <v>1</v>
      </c>
      <c r="G105" s="12" t="s">
        <v>138</v>
      </c>
      <c r="H105" s="13">
        <v>13000</v>
      </c>
      <c r="I105" s="4">
        <v>13500</v>
      </c>
      <c r="J105" s="12" t="s">
        <v>139</v>
      </c>
      <c r="K105" s="2" t="s">
        <v>48</v>
      </c>
      <c r="L105" s="3">
        <v>45666</v>
      </c>
      <c r="M105" s="5"/>
      <c r="N105" s="18" t="s">
        <v>11</v>
      </c>
      <c r="O105" s="19">
        <f>IF([1]!MasterTable[[#This Row],[المؤشر الفرعي]] &gt; 0, [1]!MasterTable[[#This Row],[المؤشر الفرعي المكتمل]] / [1]!MasterTable[[#This Row],[المؤشر الفرعي]], 0)</f>
        <v>1.0384615384615385</v>
      </c>
      <c r="P105" s="19" t="s">
        <v>51</v>
      </c>
      <c r="Q105"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05" s="6">
        <f>IF([1]!MasterTable[[#This Row],[احتساب عدد أيام التأخير]] &gt; 3, [1]!MasterTable[[#This Row],[احتساب عدد أيام التأخير]] * 3.3 / 100, 0)</f>
        <v>0</v>
      </c>
      <c r="S105"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06" spans="1:19" x14ac:dyDescent="0.25">
      <c r="A106" s="1" t="s">
        <v>17</v>
      </c>
      <c r="B106" s="1" t="s">
        <v>18</v>
      </c>
      <c r="C106" s="14" t="s">
        <v>137</v>
      </c>
      <c r="D106" s="14" t="s">
        <v>127</v>
      </c>
      <c r="E106" s="13">
        <v>1</v>
      </c>
      <c r="F106" s="20">
        <v>0</v>
      </c>
      <c r="G106" s="12" t="s">
        <v>77</v>
      </c>
      <c r="H106" s="13">
        <v>1</v>
      </c>
      <c r="I106" s="20">
        <v>0</v>
      </c>
      <c r="J106" s="17" t="s">
        <v>12</v>
      </c>
      <c r="K106" s="2" t="s">
        <v>48</v>
      </c>
      <c r="L106" s="3">
        <v>45666</v>
      </c>
      <c r="M106" s="3"/>
      <c r="N106" s="1" t="s">
        <v>11</v>
      </c>
      <c r="O106" s="6">
        <f>IF([1]!MasterTable[[#This Row],[المؤشر الفرعي]] &gt; 0, [1]!MasterTable[[#This Row],[المؤشر الفرعي المكتمل]] / [1]!MasterTable[[#This Row],[المؤشر الفرعي]], 0)</f>
        <v>0</v>
      </c>
      <c r="P106" s="6"/>
      <c r="Q106"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06" s="6">
        <f>IF([1]!MasterTable[[#This Row],[احتساب عدد أيام التأخير]] &gt; 3, [1]!MasterTable[[#This Row],[احتساب عدد أيام التأخير]] * 3.3 / 100, 0)</f>
        <v>0</v>
      </c>
      <c r="S106"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07" spans="1:19" x14ac:dyDescent="0.25">
      <c r="A107" s="1" t="s">
        <v>17</v>
      </c>
      <c r="B107" s="1" t="s">
        <v>18</v>
      </c>
      <c r="C107" s="14" t="s">
        <v>137</v>
      </c>
      <c r="D107" s="14" t="s">
        <v>127</v>
      </c>
      <c r="E107" s="13">
        <v>1</v>
      </c>
      <c r="F107" s="20">
        <v>0</v>
      </c>
      <c r="G107" s="12" t="s">
        <v>140</v>
      </c>
      <c r="H107" s="31">
        <v>0.4</v>
      </c>
      <c r="I107" s="32">
        <v>0</v>
      </c>
      <c r="J107" s="17" t="s">
        <v>12</v>
      </c>
      <c r="K107" s="29" t="s">
        <v>105</v>
      </c>
      <c r="L107" s="3">
        <v>45666</v>
      </c>
      <c r="M107" s="3"/>
      <c r="N107" s="1" t="s">
        <v>11</v>
      </c>
      <c r="O107" s="6">
        <f>IF([1]!MasterTable[[#This Row],[المؤشر الفرعي]] &gt; 0, [1]!MasterTable[[#This Row],[المؤشر الفرعي المكتمل]] / [1]!MasterTable[[#This Row],[المؤشر الفرعي]], 0)</f>
        <v>0</v>
      </c>
      <c r="P107" s="6"/>
      <c r="Q107"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07" s="6">
        <f>IF([1]!MasterTable[[#This Row],[احتساب عدد أيام التأخير]] &gt; 3, [1]!MasterTable[[#This Row],[احتساب عدد أيام التأخير]] * 3.3 / 100, 0)</f>
        <v>0</v>
      </c>
      <c r="S107"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08" spans="1:19" x14ac:dyDescent="0.25">
      <c r="A108" s="1" t="s">
        <v>17</v>
      </c>
      <c r="B108" s="1" t="s">
        <v>18</v>
      </c>
      <c r="C108" s="14" t="s">
        <v>137</v>
      </c>
      <c r="D108" s="14" t="s">
        <v>127</v>
      </c>
      <c r="E108" s="16">
        <v>0</v>
      </c>
      <c r="F108" s="20">
        <v>0</v>
      </c>
      <c r="G108" s="14" t="s">
        <v>138</v>
      </c>
      <c r="H108" s="15">
        <v>0</v>
      </c>
      <c r="I108" s="20">
        <v>0</v>
      </c>
      <c r="J108" s="1" t="s">
        <v>141</v>
      </c>
      <c r="K108" s="2" t="s">
        <v>48</v>
      </c>
      <c r="L108" s="3">
        <v>45790</v>
      </c>
      <c r="M108" s="3"/>
      <c r="N108" s="1" t="s">
        <v>13</v>
      </c>
      <c r="O108" s="6">
        <f>IF([1]!MasterTable[[#This Row],[المؤشر الفرعي]] &gt; 0, [1]!MasterTable[[#This Row],[المؤشر الفرعي المكتمل]] / [1]!MasterTable[[#This Row],[المؤشر الفرعي]], 0)</f>
        <v>0</v>
      </c>
      <c r="P108" s="6"/>
      <c r="Q108"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08" s="6">
        <f>IF([1]!MasterTable[[#This Row],[احتساب عدد أيام التأخير]] &gt; 3, [1]!MasterTable[[#This Row],[احتساب عدد أيام التأخير]] * 3.3 / 100, 0)</f>
        <v>0</v>
      </c>
      <c r="S108"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09" spans="1:19" x14ac:dyDescent="0.25">
      <c r="A109" s="1" t="s">
        <v>17</v>
      </c>
      <c r="B109" s="1" t="s">
        <v>18</v>
      </c>
      <c r="C109" s="14" t="s">
        <v>137</v>
      </c>
      <c r="D109" s="14" t="s">
        <v>127</v>
      </c>
      <c r="E109" s="16">
        <v>0</v>
      </c>
      <c r="F109" s="20">
        <v>0</v>
      </c>
      <c r="G109" s="14" t="s">
        <v>77</v>
      </c>
      <c r="H109" s="15">
        <v>1</v>
      </c>
      <c r="I109" s="20">
        <v>0</v>
      </c>
      <c r="J109" s="17" t="s">
        <v>12</v>
      </c>
      <c r="K109" s="2" t="s">
        <v>48</v>
      </c>
      <c r="L109" s="3">
        <v>45790</v>
      </c>
      <c r="M109" s="3"/>
      <c r="N109" s="1" t="s">
        <v>13</v>
      </c>
      <c r="O109" s="6">
        <f>IF([1]!MasterTable[[#This Row],[المؤشر الفرعي]] &gt; 0, [1]!MasterTable[[#This Row],[المؤشر الفرعي المكتمل]] / [1]!MasterTable[[#This Row],[المؤشر الفرعي]], 0)</f>
        <v>0</v>
      </c>
      <c r="P109" s="6"/>
      <c r="Q109"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09" s="6">
        <f>IF([1]!MasterTable[[#This Row],[احتساب عدد أيام التأخير]] &gt; 3, [1]!MasterTable[[#This Row],[احتساب عدد أيام التأخير]] * 3.3 / 100, 0)</f>
        <v>0</v>
      </c>
      <c r="S109"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10" spans="1:19" x14ac:dyDescent="0.25">
      <c r="A110" s="1" t="s">
        <v>17</v>
      </c>
      <c r="B110" s="1" t="s">
        <v>18</v>
      </c>
      <c r="C110" s="14" t="s">
        <v>137</v>
      </c>
      <c r="D110" s="14" t="s">
        <v>127</v>
      </c>
      <c r="E110" s="16">
        <v>0</v>
      </c>
      <c r="F110" s="20">
        <v>0</v>
      </c>
      <c r="G110" s="14" t="s">
        <v>140</v>
      </c>
      <c r="H110" s="35">
        <v>0.4</v>
      </c>
      <c r="I110" s="32">
        <v>0</v>
      </c>
      <c r="J110" s="17" t="s">
        <v>12</v>
      </c>
      <c r="K110" s="29" t="s">
        <v>105</v>
      </c>
      <c r="L110" s="3">
        <v>45790</v>
      </c>
      <c r="M110" s="3"/>
      <c r="N110" s="1" t="s">
        <v>13</v>
      </c>
      <c r="O110" s="6">
        <f>IF([1]!MasterTable[[#This Row],[المؤشر الفرعي]] &gt; 0, [1]!MasterTable[[#This Row],[المؤشر الفرعي المكتمل]] / [1]!MasterTable[[#This Row],[المؤشر الفرعي]], 0)</f>
        <v>0</v>
      </c>
      <c r="P110" s="6"/>
      <c r="Q110"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10" s="6">
        <f>IF([1]!MasterTable[[#This Row],[احتساب عدد أيام التأخير]] &gt; 3, [1]!MasterTable[[#This Row],[احتساب عدد أيام التأخير]] * 3.3 / 100, 0)</f>
        <v>0</v>
      </c>
      <c r="S110"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11" spans="1:19" x14ac:dyDescent="0.25">
      <c r="A111" s="1" t="s">
        <v>17</v>
      </c>
      <c r="B111" s="1" t="s">
        <v>18</v>
      </c>
      <c r="C111" s="12" t="s">
        <v>142</v>
      </c>
      <c r="D111" s="12" t="s">
        <v>127</v>
      </c>
      <c r="E111" s="13">
        <v>1</v>
      </c>
      <c r="F111" s="4">
        <v>1</v>
      </c>
      <c r="G111" s="12" t="s">
        <v>19</v>
      </c>
      <c r="H111" s="13">
        <v>5</v>
      </c>
      <c r="I111" s="4">
        <v>2</v>
      </c>
      <c r="J111" s="14" t="s">
        <v>128</v>
      </c>
      <c r="K111" s="2" t="s">
        <v>48</v>
      </c>
      <c r="L111" s="3">
        <v>45790</v>
      </c>
      <c r="M111" s="5"/>
      <c r="N111" s="18" t="s">
        <v>11</v>
      </c>
      <c r="O111" s="19">
        <f>IF([1]!MasterTable[[#This Row],[المؤشر الفرعي]] &gt; 0, [1]!MasterTable[[#This Row],[المؤشر الفرعي المكتمل]] / [1]!MasterTable[[#This Row],[المؤشر الفرعي]], 0)</f>
        <v>0.4</v>
      </c>
      <c r="P111" s="19" t="s">
        <v>51</v>
      </c>
      <c r="Q111"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11" s="6">
        <f>IF([1]!MasterTable[[#This Row],[احتساب عدد أيام التأخير]] &gt; 3, [1]!MasterTable[[#This Row],[احتساب عدد أيام التأخير]] * 3.3 / 100, 0)</f>
        <v>0</v>
      </c>
      <c r="S111"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12" spans="1:19" x14ac:dyDescent="0.25">
      <c r="A112" s="1" t="s">
        <v>17</v>
      </c>
      <c r="B112" s="1" t="s">
        <v>18</v>
      </c>
      <c r="C112" s="14" t="s">
        <v>142</v>
      </c>
      <c r="D112" s="14" t="s">
        <v>127</v>
      </c>
      <c r="E112" s="13">
        <v>1</v>
      </c>
      <c r="F112" s="4">
        <v>1</v>
      </c>
      <c r="G112" s="12" t="s">
        <v>20</v>
      </c>
      <c r="H112" s="13">
        <v>100</v>
      </c>
      <c r="I112" s="4">
        <v>194</v>
      </c>
      <c r="J112" s="17" t="s">
        <v>12</v>
      </c>
      <c r="K112" s="2" t="s">
        <v>48</v>
      </c>
      <c r="L112" s="3">
        <v>45790</v>
      </c>
      <c r="M112" s="5"/>
      <c r="N112" s="18" t="s">
        <v>11</v>
      </c>
      <c r="O112" s="19">
        <f>IF([1]!MasterTable[[#This Row],[المؤشر الفرعي]] &gt; 0, [1]!MasterTable[[#This Row],[المؤشر الفرعي المكتمل]] / [1]!MasterTable[[#This Row],[المؤشر الفرعي]], 0)</f>
        <v>1.94</v>
      </c>
      <c r="P112" s="19" t="s">
        <v>51</v>
      </c>
      <c r="Q112"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12" s="6">
        <f>IF([1]!MasterTable[[#This Row],[احتساب عدد أيام التأخير]] &gt; 3, [1]!MasterTable[[#This Row],[احتساب عدد أيام التأخير]] * 3.3 / 100, 0)</f>
        <v>0</v>
      </c>
      <c r="S112"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13" spans="1:19" x14ac:dyDescent="0.25">
      <c r="A113" s="1" t="s">
        <v>17</v>
      </c>
      <c r="B113" s="1" t="s">
        <v>18</v>
      </c>
      <c r="C113" s="14" t="s">
        <v>142</v>
      </c>
      <c r="D113" s="14" t="s">
        <v>127</v>
      </c>
      <c r="E113" s="13">
        <v>1</v>
      </c>
      <c r="F113" s="4">
        <v>1</v>
      </c>
      <c r="G113" s="12" t="s">
        <v>112</v>
      </c>
      <c r="H113" s="13">
        <v>700</v>
      </c>
      <c r="I113" s="4">
        <v>4302</v>
      </c>
      <c r="J113" s="17" t="s">
        <v>12</v>
      </c>
      <c r="K113" s="2" t="s">
        <v>48</v>
      </c>
      <c r="L113" s="3">
        <v>45790</v>
      </c>
      <c r="M113" s="5"/>
      <c r="N113" s="18" t="s">
        <v>11</v>
      </c>
      <c r="O113" s="19">
        <f>IF([1]!MasterTable[[#This Row],[المؤشر الفرعي]] &gt; 0, [1]!MasterTable[[#This Row],[المؤشر الفرعي المكتمل]] / [1]!MasterTable[[#This Row],[المؤشر الفرعي]], 0)</f>
        <v>6.1457142857142859</v>
      </c>
      <c r="P113" s="19" t="s">
        <v>51</v>
      </c>
      <c r="Q113"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13" s="6">
        <f>IF([1]!MasterTable[[#This Row],[احتساب عدد أيام التأخير]] &gt; 3, [1]!MasterTable[[#This Row],[احتساب عدد أيام التأخير]] * 3.3 / 100, 0)</f>
        <v>0</v>
      </c>
      <c r="S113"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14" spans="1:19" x14ac:dyDescent="0.25">
      <c r="A114" s="1" t="s">
        <v>17</v>
      </c>
      <c r="B114" s="1" t="s">
        <v>18</v>
      </c>
      <c r="C114" s="14" t="s">
        <v>142</v>
      </c>
      <c r="D114" s="14" t="s">
        <v>127</v>
      </c>
      <c r="E114" s="13">
        <v>1</v>
      </c>
      <c r="F114" s="20">
        <v>0</v>
      </c>
      <c r="G114" s="12" t="s">
        <v>111</v>
      </c>
      <c r="H114" s="13">
        <v>5</v>
      </c>
      <c r="I114" s="20">
        <v>0</v>
      </c>
      <c r="J114" s="17" t="s">
        <v>12</v>
      </c>
      <c r="K114" s="2" t="s">
        <v>48</v>
      </c>
      <c r="L114" s="3">
        <v>45790</v>
      </c>
      <c r="M114" s="5"/>
      <c r="N114" s="18" t="s">
        <v>11</v>
      </c>
      <c r="O114" s="19">
        <f>IF([1]!MasterTable[[#This Row],[المؤشر الفرعي]] &gt; 0, [1]!MasterTable[[#This Row],[المؤشر الفرعي المكتمل]] / [1]!MasterTable[[#This Row],[المؤشر الفرعي]], 0)</f>
        <v>0</v>
      </c>
      <c r="P114" s="19" t="s">
        <v>51</v>
      </c>
      <c r="Q114"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14" s="6">
        <f>IF([1]!MasterTable[[#This Row],[احتساب عدد أيام التأخير]] &gt; 3, [1]!MasterTable[[#This Row],[احتساب عدد أيام التأخير]] * 3.3 / 100, 0)</f>
        <v>0</v>
      </c>
      <c r="S114"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15" spans="1:19" x14ac:dyDescent="0.25">
      <c r="A115" s="1" t="s">
        <v>17</v>
      </c>
      <c r="B115" s="1" t="s">
        <v>18</v>
      </c>
      <c r="C115" s="14" t="s">
        <v>142</v>
      </c>
      <c r="D115" s="14" t="s">
        <v>127</v>
      </c>
      <c r="E115" s="13">
        <v>1</v>
      </c>
      <c r="F115" s="20">
        <v>0</v>
      </c>
      <c r="G115" s="12" t="s">
        <v>109</v>
      </c>
      <c r="H115" s="13">
        <v>10</v>
      </c>
      <c r="I115" s="20">
        <v>0</v>
      </c>
      <c r="J115" s="17" t="s">
        <v>12</v>
      </c>
      <c r="K115" s="2" t="s">
        <v>48</v>
      </c>
      <c r="L115" s="3">
        <v>45790</v>
      </c>
      <c r="M115" s="3"/>
      <c r="N115" s="1" t="s">
        <v>13</v>
      </c>
      <c r="O115" s="6">
        <f>IF([1]!MasterTable[[#This Row],[المؤشر الفرعي]] &gt; 0, [1]!MasterTable[[#This Row],[المؤشر الفرعي المكتمل]] / [1]!MasterTable[[#This Row],[المؤشر الفرعي]], 0)</f>
        <v>0</v>
      </c>
      <c r="P115" s="6"/>
      <c r="Q115"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15" s="6">
        <f>IF([1]!MasterTable[[#This Row],[احتساب عدد أيام التأخير]] &gt; 3, [1]!MasterTable[[#This Row],[احتساب عدد أيام التأخير]] * 3.3 / 100, 0)</f>
        <v>0</v>
      </c>
      <c r="S115"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16" spans="1:19" x14ac:dyDescent="0.25">
      <c r="A116" s="12" t="s">
        <v>17</v>
      </c>
      <c r="B116" s="12" t="s">
        <v>18</v>
      </c>
      <c r="C116" s="12" t="s">
        <v>21</v>
      </c>
      <c r="D116" s="12" t="s">
        <v>22</v>
      </c>
      <c r="E116" s="13">
        <v>1</v>
      </c>
      <c r="F116" s="4">
        <v>1</v>
      </c>
      <c r="G116" s="12" t="s">
        <v>15</v>
      </c>
      <c r="H116" s="13">
        <v>47</v>
      </c>
      <c r="I116" s="4">
        <v>47</v>
      </c>
      <c r="J116" s="12" t="s">
        <v>23</v>
      </c>
      <c r="K116" s="2" t="s">
        <v>48</v>
      </c>
      <c r="L116" s="3">
        <v>45666</v>
      </c>
      <c r="M116" s="5">
        <v>45614</v>
      </c>
      <c r="N116" s="18" t="s">
        <v>11</v>
      </c>
      <c r="O116" s="19">
        <f>IF([1]!MasterTable[[#This Row],[المؤشر الفرعي]] &gt; 0, [1]!MasterTable[[#This Row],[المؤشر الفرعي المكتمل]] / [1]!MasterTable[[#This Row],[المؤشر الفرعي]], 0)</f>
        <v>1</v>
      </c>
      <c r="P116" s="19" t="s">
        <v>51</v>
      </c>
      <c r="Q116"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16" s="6">
        <f>IF([1]!MasterTable[[#This Row],[احتساب عدد أيام التأخير]] &gt; 3, [1]!MasterTable[[#This Row],[احتساب عدد أيام التأخير]] * 3.3 / 100, 0)</f>
        <v>0</v>
      </c>
      <c r="S116"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17" spans="1:19" x14ac:dyDescent="0.25">
      <c r="A117" s="1" t="s">
        <v>17</v>
      </c>
      <c r="B117" s="1" t="s">
        <v>18</v>
      </c>
      <c r="C117" s="14" t="s">
        <v>21</v>
      </c>
      <c r="D117" s="14" t="s">
        <v>22</v>
      </c>
      <c r="E117" s="16">
        <v>0</v>
      </c>
      <c r="F117" s="16">
        <v>0</v>
      </c>
      <c r="G117" s="17" t="s">
        <v>15</v>
      </c>
      <c r="H117" s="15">
        <v>93</v>
      </c>
      <c r="I117" s="20">
        <v>0</v>
      </c>
      <c r="J117" s="14" t="s">
        <v>24</v>
      </c>
      <c r="K117" s="2" t="s">
        <v>48</v>
      </c>
      <c r="L117" s="3">
        <v>45790</v>
      </c>
      <c r="M117" s="3"/>
      <c r="N117" s="1" t="s">
        <v>13</v>
      </c>
      <c r="O117" s="6">
        <f>IF([1]!MasterTable[[#This Row],[المؤشر الفرعي]] &gt; 0, [1]!MasterTable[[#This Row],[المؤشر الفرعي المكتمل]] / [1]!MasterTable[[#This Row],[المؤشر الفرعي]], 0)</f>
        <v>0</v>
      </c>
      <c r="P117" s="6"/>
      <c r="Q117"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17" s="6">
        <f>IF([1]!MasterTable[[#This Row],[احتساب عدد أيام التأخير]] &gt; 3, [1]!MasterTable[[#This Row],[احتساب عدد أيام التأخير]] * 3.3 / 100, 0)</f>
        <v>0</v>
      </c>
      <c r="S117"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18" spans="1:19" x14ac:dyDescent="0.25">
      <c r="A118" s="1" t="s">
        <v>17</v>
      </c>
      <c r="B118" s="1" t="s">
        <v>18</v>
      </c>
      <c r="C118" s="12" t="s">
        <v>25</v>
      </c>
      <c r="D118" s="12" t="s">
        <v>22</v>
      </c>
      <c r="E118" s="13">
        <v>1</v>
      </c>
      <c r="F118" s="4">
        <v>1</v>
      </c>
      <c r="G118" s="12" t="s">
        <v>19</v>
      </c>
      <c r="H118" s="13">
        <v>1</v>
      </c>
      <c r="I118" s="4">
        <v>2</v>
      </c>
      <c r="J118" s="12" t="s">
        <v>26</v>
      </c>
      <c r="K118" s="2" t="s">
        <v>48</v>
      </c>
      <c r="L118" s="3">
        <v>45608</v>
      </c>
      <c r="M118" s="5">
        <v>45614</v>
      </c>
      <c r="N118" s="18" t="s">
        <v>14</v>
      </c>
      <c r="O118" s="19">
        <f>IF([1]!MasterTable[[#This Row],[المؤشر الفرعي]] &gt; 0, [1]!MasterTable[[#This Row],[المؤشر الفرعي المكتمل]] / [1]!MasterTable[[#This Row],[المؤشر الفرعي]], 0)</f>
        <v>2</v>
      </c>
      <c r="P118" s="19" t="s">
        <v>51</v>
      </c>
      <c r="Q118"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5</v>
      </c>
      <c r="R118" s="6">
        <f>IF([1]!MasterTable[[#This Row],[احتساب عدد أيام التأخير]] &gt; 3, [1]!MasterTable[[#This Row],[احتساب عدد أيام التأخير]] * 3.3 / 100, 0)</f>
        <v>0.16500000000000001</v>
      </c>
      <c r="S118"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19" spans="1:19" x14ac:dyDescent="0.25">
      <c r="A119" s="1" t="s">
        <v>17</v>
      </c>
      <c r="B119" s="1" t="s">
        <v>18</v>
      </c>
      <c r="C119" s="14" t="s">
        <v>25</v>
      </c>
      <c r="D119" s="14" t="s">
        <v>22</v>
      </c>
      <c r="E119" s="16"/>
      <c r="F119" s="16"/>
      <c r="G119" s="17" t="s">
        <v>19</v>
      </c>
      <c r="H119" s="16">
        <v>0</v>
      </c>
      <c r="I119" s="20">
        <v>0</v>
      </c>
      <c r="J119" s="14" t="s">
        <v>27</v>
      </c>
      <c r="K119" s="2" t="s">
        <v>48</v>
      </c>
      <c r="L119" s="3">
        <v>45790</v>
      </c>
      <c r="M119" s="3"/>
      <c r="N119" s="1" t="s">
        <v>11</v>
      </c>
      <c r="O119" s="6">
        <f>IF([1]!MasterTable[[#This Row],[المؤشر الفرعي]] &gt; 0, [1]!MasterTable[[#This Row],[المؤشر الفرعي المكتمل]] / [1]!MasterTable[[#This Row],[المؤشر الفرعي]], 0)</f>
        <v>0</v>
      </c>
      <c r="P119" s="6"/>
      <c r="Q119"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19" s="6">
        <f>IF([1]!MasterTable[[#This Row],[احتساب عدد أيام التأخير]] &gt; 3, [1]!MasterTable[[#This Row],[احتساب عدد أيام التأخير]] * 3.3 / 100, 0)</f>
        <v>0</v>
      </c>
      <c r="S119"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20" spans="1:19" x14ac:dyDescent="0.25">
      <c r="A120" s="1" t="s">
        <v>17</v>
      </c>
      <c r="B120" s="1" t="s">
        <v>18</v>
      </c>
      <c r="C120" s="14" t="s">
        <v>25</v>
      </c>
      <c r="D120" s="14" t="s">
        <v>22</v>
      </c>
      <c r="E120" s="13">
        <v>1</v>
      </c>
      <c r="F120" s="4">
        <v>1</v>
      </c>
      <c r="G120" s="12" t="s">
        <v>20</v>
      </c>
      <c r="H120" s="13">
        <v>3</v>
      </c>
      <c r="I120" s="4">
        <v>3</v>
      </c>
      <c r="J120" s="12" t="s">
        <v>26</v>
      </c>
      <c r="K120" s="2" t="s">
        <v>48</v>
      </c>
      <c r="L120" s="3">
        <v>45608</v>
      </c>
      <c r="M120" s="5">
        <v>45614</v>
      </c>
      <c r="N120" s="18" t="s">
        <v>14</v>
      </c>
      <c r="O120" s="19">
        <f>IF([1]!MasterTable[[#This Row],[المؤشر الفرعي]] &gt; 0, [1]!MasterTable[[#This Row],[المؤشر الفرعي المكتمل]] / [1]!MasterTable[[#This Row],[المؤشر الفرعي]], 0)</f>
        <v>1</v>
      </c>
      <c r="P120" s="19" t="s">
        <v>51</v>
      </c>
      <c r="Q120"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5</v>
      </c>
      <c r="R120" s="6">
        <f>IF([1]!MasterTable[[#This Row],[احتساب عدد أيام التأخير]] &gt; 3, [1]!MasterTable[[#This Row],[احتساب عدد أيام التأخير]] * 3.3 / 100, 0)</f>
        <v>0.16500000000000001</v>
      </c>
      <c r="S120"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21" spans="1:19" x14ac:dyDescent="0.25">
      <c r="A121" s="1" t="s">
        <v>17</v>
      </c>
      <c r="B121" s="1" t="s">
        <v>18</v>
      </c>
      <c r="C121" s="14" t="s">
        <v>25</v>
      </c>
      <c r="D121" s="14" t="s">
        <v>22</v>
      </c>
      <c r="E121" s="16">
        <v>0</v>
      </c>
      <c r="F121" s="16">
        <v>0</v>
      </c>
      <c r="G121" s="17" t="s">
        <v>20</v>
      </c>
      <c r="H121" s="16">
        <v>0</v>
      </c>
      <c r="I121" s="20">
        <v>0</v>
      </c>
      <c r="J121" s="14" t="s">
        <v>27</v>
      </c>
      <c r="K121" s="2" t="s">
        <v>48</v>
      </c>
      <c r="L121" s="3">
        <v>45790</v>
      </c>
      <c r="M121" s="3"/>
      <c r="N121" s="1" t="s">
        <v>13</v>
      </c>
      <c r="O121" s="6">
        <f>IF([1]!MasterTable[[#This Row],[المؤشر الفرعي]] &gt; 0, [1]!MasterTable[[#This Row],[المؤشر الفرعي المكتمل]] / [1]!MasterTable[[#This Row],[المؤشر الفرعي]], 0)</f>
        <v>0</v>
      </c>
      <c r="P121" s="6"/>
      <c r="Q121"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21" s="6">
        <f>IF([1]!MasterTable[[#This Row],[احتساب عدد أيام التأخير]] &gt; 3, [1]!MasterTable[[#This Row],[احتساب عدد أيام التأخير]] * 3.3 / 100, 0)</f>
        <v>0</v>
      </c>
      <c r="S121"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22" spans="1:19" x14ac:dyDescent="0.25">
      <c r="A122" s="1" t="s">
        <v>17</v>
      </c>
      <c r="B122" s="1" t="s">
        <v>18</v>
      </c>
      <c r="C122" s="12" t="s">
        <v>28</v>
      </c>
      <c r="D122" s="12" t="s">
        <v>22</v>
      </c>
      <c r="E122" s="13">
        <v>1</v>
      </c>
      <c r="F122" s="4">
        <v>1</v>
      </c>
      <c r="G122" s="12" t="s">
        <v>10</v>
      </c>
      <c r="H122" s="13">
        <v>1</v>
      </c>
      <c r="I122" s="4">
        <v>1</v>
      </c>
      <c r="J122" s="12" t="s">
        <v>29</v>
      </c>
      <c r="K122" s="2" t="s">
        <v>48</v>
      </c>
      <c r="L122" s="3">
        <v>45666</v>
      </c>
      <c r="M122" s="5">
        <v>45614</v>
      </c>
      <c r="N122" s="18" t="s">
        <v>11</v>
      </c>
      <c r="O122" s="19">
        <f>IF([1]!MasterTable[[#This Row],[المؤشر الفرعي]] &gt; 0, [1]!MasterTable[[#This Row],[المؤشر الفرعي المكتمل]] / [1]!MasterTable[[#This Row],[المؤشر الفرعي]], 0)</f>
        <v>1</v>
      </c>
      <c r="P122" s="19" t="s">
        <v>51</v>
      </c>
      <c r="Q122"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22" s="6">
        <f>IF([1]!MasterTable[[#This Row],[احتساب عدد أيام التأخير]] &gt; 3, [1]!MasterTable[[#This Row],[احتساب عدد أيام التأخير]] * 3.3 / 100, 0)</f>
        <v>0</v>
      </c>
      <c r="S122"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23" spans="1:19" x14ac:dyDescent="0.25">
      <c r="A123" s="1" t="s">
        <v>17</v>
      </c>
      <c r="B123" s="1" t="s">
        <v>18</v>
      </c>
      <c r="C123" s="14" t="s">
        <v>28</v>
      </c>
      <c r="D123" s="14" t="s">
        <v>22</v>
      </c>
      <c r="E123" s="16">
        <v>0</v>
      </c>
      <c r="F123" s="16">
        <v>0</v>
      </c>
      <c r="G123" s="17" t="s">
        <v>12</v>
      </c>
      <c r="H123" s="16">
        <v>0</v>
      </c>
      <c r="I123" s="20">
        <v>0</v>
      </c>
      <c r="J123" s="14" t="s">
        <v>30</v>
      </c>
      <c r="K123" s="2" t="s">
        <v>48</v>
      </c>
      <c r="L123" s="3">
        <v>45790</v>
      </c>
      <c r="M123" s="3"/>
      <c r="N123" s="1" t="s">
        <v>13</v>
      </c>
      <c r="O123" s="6">
        <f>IF([1]!MasterTable[[#This Row],[المؤشر الفرعي]] &gt; 0, [1]!MasterTable[[#This Row],[المؤشر الفرعي المكتمل]] / [1]!MasterTable[[#This Row],[المؤشر الفرعي]], 0)</f>
        <v>0</v>
      </c>
      <c r="P123" s="6"/>
      <c r="Q123"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23" s="6">
        <f>IF([1]!MasterTable[[#This Row],[احتساب عدد أيام التأخير]] &gt; 3, [1]!MasterTable[[#This Row],[احتساب عدد أيام التأخير]] * 3.3 / 100, 0)</f>
        <v>0</v>
      </c>
      <c r="S123"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24" spans="1:19" x14ac:dyDescent="0.25">
      <c r="A124" s="1" t="s">
        <v>17</v>
      </c>
      <c r="B124" s="1" t="s">
        <v>18</v>
      </c>
      <c r="C124" s="14" t="s">
        <v>28</v>
      </c>
      <c r="D124" s="14" t="s">
        <v>22</v>
      </c>
      <c r="E124" s="13">
        <v>1</v>
      </c>
      <c r="F124" s="4">
        <v>1</v>
      </c>
      <c r="G124" s="12" t="s">
        <v>16</v>
      </c>
      <c r="H124" s="13">
        <v>57</v>
      </c>
      <c r="I124" s="4">
        <v>57</v>
      </c>
      <c r="J124" s="12" t="s">
        <v>31</v>
      </c>
      <c r="K124" s="2" t="s">
        <v>48</v>
      </c>
      <c r="L124" s="3">
        <v>45666</v>
      </c>
      <c r="M124" s="5">
        <v>45614</v>
      </c>
      <c r="N124" s="18" t="s">
        <v>11</v>
      </c>
      <c r="O124" s="19">
        <f>IF([1]!MasterTable[[#This Row],[المؤشر الفرعي]] &gt; 0, [1]!MasterTable[[#This Row],[المؤشر الفرعي المكتمل]] / [1]!MasterTable[[#This Row],[المؤشر الفرعي]], 0)</f>
        <v>1</v>
      </c>
      <c r="P124" s="19" t="s">
        <v>51</v>
      </c>
      <c r="Q124"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24" s="6">
        <f>IF([1]!MasterTable[[#This Row],[احتساب عدد أيام التأخير]] &gt; 3, [1]!MasterTable[[#This Row],[احتساب عدد أيام التأخير]] * 3.3 / 100, 0)</f>
        <v>0</v>
      </c>
      <c r="S124"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25" spans="1:19" x14ac:dyDescent="0.25">
      <c r="A125" s="1" t="s">
        <v>17</v>
      </c>
      <c r="B125" s="1" t="s">
        <v>18</v>
      </c>
      <c r="C125" s="14" t="s">
        <v>28</v>
      </c>
      <c r="D125" s="14" t="s">
        <v>22</v>
      </c>
      <c r="E125" s="16">
        <v>0</v>
      </c>
      <c r="F125" s="16">
        <v>0</v>
      </c>
      <c r="G125" s="17" t="s">
        <v>16</v>
      </c>
      <c r="H125" s="15">
        <v>83</v>
      </c>
      <c r="I125" s="20">
        <v>0</v>
      </c>
      <c r="J125" s="14" t="s">
        <v>32</v>
      </c>
      <c r="K125" s="2" t="s">
        <v>48</v>
      </c>
      <c r="L125" s="3">
        <v>45790</v>
      </c>
      <c r="M125" s="3"/>
      <c r="N125" s="1" t="s">
        <v>13</v>
      </c>
      <c r="O125" s="6">
        <f>IF([1]!MasterTable[[#This Row],[المؤشر الفرعي]] &gt; 0, [1]!MasterTable[[#This Row],[المؤشر الفرعي المكتمل]] / [1]!MasterTable[[#This Row],[المؤشر الفرعي]], 0)</f>
        <v>0</v>
      </c>
      <c r="P125" s="6"/>
      <c r="Q125"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25" s="6">
        <f>IF([1]!MasterTable[[#This Row],[احتساب عدد أيام التأخير]] &gt; 3, [1]!MasterTable[[#This Row],[احتساب عدد أيام التأخير]] * 3.3 / 100, 0)</f>
        <v>0</v>
      </c>
      <c r="S125"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26" spans="1:19" x14ac:dyDescent="0.25">
      <c r="A126" s="1" t="s">
        <v>17</v>
      </c>
      <c r="B126" s="1" t="s">
        <v>18</v>
      </c>
      <c r="C126" s="14" t="s">
        <v>28</v>
      </c>
      <c r="D126" s="14" t="s">
        <v>22</v>
      </c>
      <c r="E126" s="13">
        <v>1</v>
      </c>
      <c r="F126" s="4">
        <v>1</v>
      </c>
      <c r="G126" s="12" t="s">
        <v>10</v>
      </c>
      <c r="H126" s="13">
        <v>1</v>
      </c>
      <c r="I126" s="4">
        <v>1</v>
      </c>
      <c r="J126" s="12" t="s">
        <v>33</v>
      </c>
      <c r="K126" s="2" t="s">
        <v>48</v>
      </c>
      <c r="L126" s="3">
        <v>45666</v>
      </c>
      <c r="M126" s="5">
        <v>45636</v>
      </c>
      <c r="N126" s="18" t="s">
        <v>11</v>
      </c>
      <c r="O126" s="19">
        <f>IF([1]!MasterTable[[#This Row],[المؤشر الفرعي]] &gt; 0, [1]!MasterTable[[#This Row],[المؤشر الفرعي المكتمل]] / [1]!MasterTable[[#This Row],[المؤشر الفرعي]], 0)</f>
        <v>1</v>
      </c>
      <c r="P126" s="19" t="s">
        <v>51</v>
      </c>
      <c r="Q126"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26" s="6">
        <f>IF([1]!MasterTable[[#This Row],[احتساب عدد أيام التأخير]] &gt; 3, [1]!MasterTable[[#This Row],[احتساب عدد أيام التأخير]] * 3.3 / 100, 0)</f>
        <v>0</v>
      </c>
      <c r="S126"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27" spans="1:19" x14ac:dyDescent="0.25">
      <c r="A127" s="1" t="s">
        <v>17</v>
      </c>
      <c r="B127" s="1" t="s">
        <v>18</v>
      </c>
      <c r="C127" s="14" t="s">
        <v>28</v>
      </c>
      <c r="D127" s="14" t="s">
        <v>22</v>
      </c>
      <c r="E127" s="16">
        <v>0</v>
      </c>
      <c r="F127" s="16">
        <v>0</v>
      </c>
      <c r="G127" s="17" t="s">
        <v>12</v>
      </c>
      <c r="H127" s="16">
        <v>0</v>
      </c>
      <c r="I127" s="20">
        <v>0</v>
      </c>
      <c r="J127" s="14" t="s">
        <v>34</v>
      </c>
      <c r="K127" s="2" t="s">
        <v>48</v>
      </c>
      <c r="L127" s="3">
        <v>45790</v>
      </c>
      <c r="M127" s="3"/>
      <c r="N127" s="1" t="s">
        <v>13</v>
      </c>
      <c r="O127" s="6">
        <f>IF([1]!MasterTable[[#This Row],[المؤشر الفرعي]] &gt; 0, [1]!MasterTable[[#This Row],[المؤشر الفرعي المكتمل]] / [1]!MasterTable[[#This Row],[المؤشر الفرعي]], 0)</f>
        <v>0</v>
      </c>
      <c r="P127" s="6"/>
      <c r="Q127"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27" s="6">
        <f>IF([1]!MasterTable[[#This Row],[احتساب عدد أيام التأخير]] &gt; 3, [1]!MasterTable[[#This Row],[احتساب عدد أيام التأخير]] * 3.3 / 100, 0)</f>
        <v>0</v>
      </c>
      <c r="S127"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28" spans="1:19" x14ac:dyDescent="0.25">
      <c r="A128" s="1" t="s">
        <v>17</v>
      </c>
      <c r="B128" s="1" t="s">
        <v>18</v>
      </c>
      <c r="C128" s="12" t="s">
        <v>35</v>
      </c>
      <c r="D128" s="12" t="s">
        <v>22</v>
      </c>
      <c r="E128" s="13">
        <v>1</v>
      </c>
      <c r="F128" s="4">
        <v>1</v>
      </c>
      <c r="G128" s="12" t="s">
        <v>36</v>
      </c>
      <c r="H128" s="13">
        <v>31</v>
      </c>
      <c r="I128" s="4">
        <v>31</v>
      </c>
      <c r="J128" s="12" t="s">
        <v>37</v>
      </c>
      <c r="K128" s="2" t="s">
        <v>48</v>
      </c>
      <c r="L128" s="3">
        <v>45608</v>
      </c>
      <c r="M128" s="5">
        <v>45614</v>
      </c>
      <c r="N128" s="18" t="s">
        <v>14</v>
      </c>
      <c r="O128" s="19">
        <f>IF([1]!MasterTable[[#This Row],[المؤشر الفرعي]] &gt; 0, [1]!MasterTable[[#This Row],[المؤشر الفرعي المكتمل]] / [1]!MasterTable[[#This Row],[المؤشر الفرعي]], 0)</f>
        <v>1</v>
      </c>
      <c r="P128" s="19" t="s">
        <v>51</v>
      </c>
      <c r="Q128"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5</v>
      </c>
      <c r="R128" s="6">
        <f>IF([1]!MasterTable[[#This Row],[احتساب عدد أيام التأخير]] &gt; 3, [1]!MasterTable[[#This Row],[احتساب عدد أيام التأخير]] * 3.3 / 100, 0)</f>
        <v>0.16500000000000001</v>
      </c>
      <c r="S128"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29" spans="1:19" x14ac:dyDescent="0.25">
      <c r="A129" s="1" t="s">
        <v>17</v>
      </c>
      <c r="B129" s="1" t="s">
        <v>18</v>
      </c>
      <c r="C129" s="14" t="s">
        <v>35</v>
      </c>
      <c r="D129" s="14" t="s">
        <v>22</v>
      </c>
      <c r="E129" s="16">
        <v>0</v>
      </c>
      <c r="F129" s="16">
        <v>0</v>
      </c>
      <c r="G129" s="17" t="s">
        <v>36</v>
      </c>
      <c r="H129" s="15">
        <v>49</v>
      </c>
      <c r="I129" s="20">
        <v>0</v>
      </c>
      <c r="J129" s="14" t="s">
        <v>38</v>
      </c>
      <c r="K129" s="2" t="s">
        <v>48</v>
      </c>
      <c r="L129" s="3">
        <v>45666</v>
      </c>
      <c r="M129" s="3"/>
      <c r="N129" s="1" t="s">
        <v>11</v>
      </c>
      <c r="O129" s="6">
        <f>IF([1]!MasterTable[[#This Row],[المؤشر الفرعي]] &gt; 0, [1]!MasterTable[[#This Row],[المؤشر الفرعي المكتمل]] / [1]!MasterTable[[#This Row],[المؤشر الفرعي]], 0)</f>
        <v>0</v>
      </c>
      <c r="P129" s="6"/>
      <c r="Q129"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29" s="6">
        <f>IF([1]!MasterTable[[#This Row],[احتساب عدد أيام التأخير]] &gt; 3, [1]!MasterTable[[#This Row],[احتساب عدد أيام التأخير]] * 3.3 / 100, 0)</f>
        <v>0</v>
      </c>
      <c r="S129"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30" spans="1:19" x14ac:dyDescent="0.25">
      <c r="A130" s="1" t="s">
        <v>17</v>
      </c>
      <c r="B130" s="1" t="s">
        <v>18</v>
      </c>
      <c r="C130" s="12" t="s">
        <v>39</v>
      </c>
      <c r="D130" s="12" t="s">
        <v>22</v>
      </c>
      <c r="E130" s="13">
        <v>1</v>
      </c>
      <c r="F130" s="20">
        <v>0</v>
      </c>
      <c r="G130" s="12" t="s">
        <v>10</v>
      </c>
      <c r="H130" s="13">
        <v>1</v>
      </c>
      <c r="I130" s="20">
        <v>0</v>
      </c>
      <c r="J130" s="12" t="s">
        <v>40</v>
      </c>
      <c r="K130" s="2" t="s">
        <v>48</v>
      </c>
      <c r="L130" s="3">
        <v>45790</v>
      </c>
      <c r="M130" s="3"/>
      <c r="N130" s="1" t="s">
        <v>13</v>
      </c>
      <c r="O130" s="6">
        <f>IF([1]!MasterTable[[#This Row],[المؤشر الفرعي]] &gt; 0, [1]!MasterTable[[#This Row],[المؤشر الفرعي المكتمل]] / [1]!MasterTable[[#This Row],[المؤشر الفرعي]], 0)</f>
        <v>0</v>
      </c>
      <c r="P130" s="6"/>
      <c r="Q130"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30" s="6">
        <f>IF([1]!MasterTable[[#This Row],[احتساب عدد أيام التأخير]] &gt; 3, [1]!MasterTable[[#This Row],[احتساب عدد أيام التأخير]] * 3.3 / 100, 0)</f>
        <v>0</v>
      </c>
      <c r="S130"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31" spans="1:19" x14ac:dyDescent="0.25">
      <c r="A131" s="12" t="s">
        <v>143</v>
      </c>
      <c r="B131" s="12" t="s">
        <v>144</v>
      </c>
      <c r="C131" s="12" t="s">
        <v>145</v>
      </c>
      <c r="D131" s="12" t="s">
        <v>146</v>
      </c>
      <c r="E131" s="13">
        <v>1</v>
      </c>
      <c r="F131" s="20">
        <v>0</v>
      </c>
      <c r="G131" s="12" t="s">
        <v>147</v>
      </c>
      <c r="H131" s="31">
        <v>0.9</v>
      </c>
      <c r="I131" s="32">
        <v>0</v>
      </c>
      <c r="J131" s="12" t="s">
        <v>148</v>
      </c>
      <c r="K131" s="29" t="s">
        <v>105</v>
      </c>
      <c r="L131" s="3">
        <v>45666</v>
      </c>
      <c r="M131" s="3"/>
      <c r="N131" s="1" t="s">
        <v>11</v>
      </c>
      <c r="O131" s="6">
        <f>IF([1]!MasterTable[[#This Row],[المؤشر الفرعي]] &gt; 0, [1]!MasterTable[[#This Row],[المؤشر الفرعي المكتمل]] / [1]!MasterTable[[#This Row],[المؤشر الفرعي]], 0)</f>
        <v>0</v>
      </c>
      <c r="P131" s="6"/>
      <c r="Q131"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31" s="6">
        <f>IF([1]!MasterTable[[#This Row],[احتساب عدد أيام التأخير]] &gt; 3, [1]!MasterTable[[#This Row],[احتساب عدد أيام التأخير]] * 3.3 / 100, 0)</f>
        <v>0</v>
      </c>
      <c r="S131"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32" spans="1:19" x14ac:dyDescent="0.25">
      <c r="A132" s="1" t="s">
        <v>143</v>
      </c>
      <c r="B132" s="1" t="s">
        <v>144</v>
      </c>
      <c r="C132" s="14" t="s">
        <v>145</v>
      </c>
      <c r="D132" s="14" t="s">
        <v>146</v>
      </c>
      <c r="E132" s="13">
        <v>1</v>
      </c>
      <c r="F132" s="20">
        <v>0</v>
      </c>
      <c r="G132" s="12" t="s">
        <v>149</v>
      </c>
      <c r="H132" s="31">
        <v>0.9</v>
      </c>
      <c r="I132" s="32">
        <v>0</v>
      </c>
      <c r="J132" s="1" t="s">
        <v>150</v>
      </c>
      <c r="K132" s="29" t="s">
        <v>105</v>
      </c>
      <c r="L132" s="3">
        <v>45790</v>
      </c>
      <c r="M132" s="3"/>
      <c r="N132" s="1" t="s">
        <v>13</v>
      </c>
      <c r="O132" s="6">
        <f>IF([1]!MasterTable[[#This Row],[المؤشر الفرعي]] &gt; 0, [1]!MasterTable[[#This Row],[المؤشر الفرعي المكتمل]] / [1]!MasterTable[[#This Row],[المؤشر الفرعي]], 0)</f>
        <v>0</v>
      </c>
      <c r="P132" s="6"/>
      <c r="Q132"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32" s="6">
        <f>IF([1]!MasterTable[[#This Row],[احتساب عدد أيام التأخير]] &gt; 3, [1]!MasterTable[[#This Row],[احتساب عدد أيام التأخير]] * 3.3 / 100, 0)</f>
        <v>0</v>
      </c>
      <c r="S132"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33" spans="1:19" x14ac:dyDescent="0.25">
      <c r="A133" s="1" t="s">
        <v>143</v>
      </c>
      <c r="B133" s="1" t="s">
        <v>144</v>
      </c>
      <c r="C133" s="14" t="s">
        <v>145</v>
      </c>
      <c r="D133" s="14" t="s">
        <v>146</v>
      </c>
      <c r="E133" s="13">
        <v>1</v>
      </c>
      <c r="F133" s="20">
        <v>0</v>
      </c>
      <c r="G133" s="12" t="s">
        <v>151</v>
      </c>
      <c r="H133" s="31">
        <v>0.9</v>
      </c>
      <c r="I133" s="32">
        <v>0</v>
      </c>
      <c r="J133" s="17" t="s">
        <v>12</v>
      </c>
      <c r="K133" s="29" t="s">
        <v>105</v>
      </c>
      <c r="L133" s="3">
        <v>45790</v>
      </c>
      <c r="M133" s="36"/>
      <c r="N133" s="1" t="s">
        <v>13</v>
      </c>
      <c r="O133" s="6">
        <f>IF([1]!MasterTable[[#This Row],[المؤشر الفرعي]] &gt; 0, [1]!MasterTable[[#This Row],[المؤشر الفرعي المكتمل]] / [1]!MasterTable[[#This Row],[المؤشر الفرعي]], 0)</f>
        <v>0</v>
      </c>
      <c r="P133" s="6"/>
      <c r="Q133"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33" s="6">
        <f>IF([1]!MasterTable[[#This Row],[احتساب عدد أيام التأخير]] &gt; 3, [1]!MasterTable[[#This Row],[احتساب عدد أيام التأخير]] * 3.3 / 100, 0)</f>
        <v>0</v>
      </c>
      <c r="S133"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34" spans="1:19" x14ac:dyDescent="0.25">
      <c r="A134" s="1" t="s">
        <v>143</v>
      </c>
      <c r="B134" s="1" t="s">
        <v>144</v>
      </c>
      <c r="C134" s="14" t="s">
        <v>145</v>
      </c>
      <c r="D134" s="14" t="s">
        <v>146</v>
      </c>
      <c r="E134" s="13">
        <v>1</v>
      </c>
      <c r="F134" s="20">
        <v>0</v>
      </c>
      <c r="G134" s="12" t="s">
        <v>152</v>
      </c>
      <c r="H134" s="31">
        <v>1</v>
      </c>
      <c r="I134" s="32">
        <v>0</v>
      </c>
      <c r="J134" s="17" t="s">
        <v>12</v>
      </c>
      <c r="K134" s="29" t="s">
        <v>105</v>
      </c>
      <c r="L134" s="3">
        <v>45790</v>
      </c>
      <c r="M134" s="36"/>
      <c r="N134" s="1" t="s">
        <v>13</v>
      </c>
      <c r="O134" s="6">
        <f>IF([1]!MasterTable[[#This Row],[المؤشر الفرعي]] &gt; 0, [1]!MasterTable[[#This Row],[المؤشر الفرعي المكتمل]] / [1]!MasterTable[[#This Row],[المؤشر الفرعي]], 0)</f>
        <v>0</v>
      </c>
      <c r="P134" s="6"/>
      <c r="Q134"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34" s="6">
        <f>IF([1]!MasterTable[[#This Row],[احتساب عدد أيام التأخير]] &gt; 3, [1]!MasterTable[[#This Row],[احتساب عدد أيام التأخير]] * 3.3 / 100, 0)</f>
        <v>0</v>
      </c>
      <c r="S134"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35" spans="1:19" x14ac:dyDescent="0.25">
      <c r="A135" s="1" t="s">
        <v>143</v>
      </c>
      <c r="B135" s="1" t="s">
        <v>144</v>
      </c>
      <c r="C135" s="14" t="s">
        <v>145</v>
      </c>
      <c r="D135" s="14" t="s">
        <v>146</v>
      </c>
      <c r="E135" s="13">
        <v>1</v>
      </c>
      <c r="F135" s="20">
        <v>0</v>
      </c>
      <c r="G135" s="12" t="s">
        <v>153</v>
      </c>
      <c r="H135" s="31">
        <v>0.2</v>
      </c>
      <c r="I135" s="32">
        <v>0</v>
      </c>
      <c r="J135" s="17" t="s">
        <v>12</v>
      </c>
      <c r="K135" s="29" t="s">
        <v>105</v>
      </c>
      <c r="L135" s="3">
        <v>45790</v>
      </c>
      <c r="M135" s="36"/>
      <c r="N135" s="1" t="s">
        <v>13</v>
      </c>
      <c r="O135" s="6">
        <f>IF([1]!MasterTable[[#This Row],[المؤشر الفرعي]] &gt; 0, [1]!MasterTable[[#This Row],[المؤشر الفرعي المكتمل]] / [1]!MasterTable[[#This Row],[المؤشر الفرعي]], 0)</f>
        <v>0</v>
      </c>
      <c r="P135" s="6"/>
      <c r="Q135"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35" s="6">
        <f>IF([1]!MasterTable[[#This Row],[احتساب عدد أيام التأخير]] &gt; 3, [1]!MasterTable[[#This Row],[احتساب عدد أيام التأخير]] * 3.3 / 100, 0)</f>
        <v>0</v>
      </c>
      <c r="S135"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36" spans="1:19" x14ac:dyDescent="0.25">
      <c r="A136" s="1" t="s">
        <v>143</v>
      </c>
      <c r="B136" s="1" t="s">
        <v>144</v>
      </c>
      <c r="C136" s="14" t="s">
        <v>145</v>
      </c>
      <c r="D136" s="14" t="s">
        <v>146</v>
      </c>
      <c r="E136" s="13">
        <v>1</v>
      </c>
      <c r="F136" s="20">
        <v>0</v>
      </c>
      <c r="G136" s="12" t="s">
        <v>154</v>
      </c>
      <c r="H136" s="31">
        <v>0.25</v>
      </c>
      <c r="I136" s="32">
        <v>0</v>
      </c>
      <c r="J136" s="17" t="s">
        <v>12</v>
      </c>
      <c r="K136" s="29" t="s">
        <v>105</v>
      </c>
      <c r="L136" s="3">
        <v>45790</v>
      </c>
      <c r="M136" s="36"/>
      <c r="N136" s="1" t="s">
        <v>13</v>
      </c>
      <c r="O136" s="6">
        <f>IF([1]!MasterTable[[#This Row],[المؤشر الفرعي]] &gt; 0, [1]!MasterTable[[#This Row],[المؤشر الفرعي المكتمل]] / [1]!MasterTable[[#This Row],[المؤشر الفرعي]], 0)</f>
        <v>0</v>
      </c>
      <c r="P136" s="6"/>
      <c r="Q136"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36" s="6">
        <f>IF([1]!MasterTable[[#This Row],[احتساب عدد أيام التأخير]] &gt; 3, [1]!MasterTable[[#This Row],[احتساب عدد أيام التأخير]] * 3.3 / 100, 0)</f>
        <v>0</v>
      </c>
      <c r="S136"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37" spans="1:19" x14ac:dyDescent="0.25">
      <c r="A137" s="1" t="s">
        <v>143</v>
      </c>
      <c r="B137" s="1" t="s">
        <v>144</v>
      </c>
      <c r="C137" s="12" t="s">
        <v>155</v>
      </c>
      <c r="D137" s="12" t="s">
        <v>146</v>
      </c>
      <c r="E137" s="13">
        <v>1</v>
      </c>
      <c r="F137" s="20">
        <v>0</v>
      </c>
      <c r="G137" s="12" t="s">
        <v>156</v>
      </c>
      <c r="H137" s="31">
        <v>0.95</v>
      </c>
      <c r="I137" s="32">
        <v>0</v>
      </c>
      <c r="J137" s="12" t="s">
        <v>157</v>
      </c>
      <c r="K137" s="29" t="s">
        <v>105</v>
      </c>
      <c r="L137" s="3">
        <v>45790</v>
      </c>
      <c r="M137" s="3"/>
      <c r="N137" s="1" t="s">
        <v>13</v>
      </c>
      <c r="O137" s="6">
        <f>IF([1]!MasterTable[[#This Row],[المؤشر الفرعي]] &gt; 0, [1]!MasterTable[[#This Row],[المؤشر الفرعي المكتمل]] / [1]!MasterTable[[#This Row],[المؤشر الفرعي]], 0)</f>
        <v>0</v>
      </c>
      <c r="P137" s="6"/>
      <c r="Q137"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37" s="6">
        <f>IF([1]!MasterTable[[#This Row],[احتساب عدد أيام التأخير]] &gt; 3, [1]!MasterTable[[#This Row],[احتساب عدد أيام التأخير]] * 3.3 / 100, 0)</f>
        <v>0</v>
      </c>
      <c r="S137"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38" spans="1:19" x14ac:dyDescent="0.25">
      <c r="A138" s="1" t="s">
        <v>143</v>
      </c>
      <c r="B138" s="1" t="s">
        <v>144</v>
      </c>
      <c r="C138" s="14" t="s">
        <v>155</v>
      </c>
      <c r="D138" s="14" t="s">
        <v>146</v>
      </c>
      <c r="E138" s="15">
        <v>1</v>
      </c>
      <c r="F138" s="20">
        <v>0</v>
      </c>
      <c r="G138" s="12" t="s">
        <v>158</v>
      </c>
      <c r="H138" s="31">
        <v>0.95</v>
      </c>
      <c r="I138" s="32">
        <v>0</v>
      </c>
      <c r="J138" s="17" t="s">
        <v>12</v>
      </c>
      <c r="K138" s="29" t="s">
        <v>105</v>
      </c>
      <c r="L138" s="3">
        <v>45790</v>
      </c>
      <c r="M138" s="36"/>
      <c r="N138" s="1" t="s">
        <v>13</v>
      </c>
      <c r="O138" s="6">
        <f>IF([1]!MasterTable[[#This Row],[المؤشر الفرعي]] &gt; 0, [1]!MasterTable[[#This Row],[المؤشر الفرعي المكتمل]] / [1]!MasterTable[[#This Row],[المؤشر الفرعي]], 0)</f>
        <v>0</v>
      </c>
      <c r="P138" s="6"/>
      <c r="Q138"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38" s="6">
        <f>IF([1]!MasterTable[[#This Row],[احتساب عدد أيام التأخير]] &gt; 3, [1]!MasterTable[[#This Row],[احتساب عدد أيام التأخير]] * 3.3 / 100, 0)</f>
        <v>0</v>
      </c>
      <c r="S138"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39" spans="1:19" x14ac:dyDescent="0.25">
      <c r="A139" s="1" t="s">
        <v>143</v>
      </c>
      <c r="B139" s="1" t="s">
        <v>144</v>
      </c>
      <c r="C139" s="12" t="s">
        <v>159</v>
      </c>
      <c r="D139" s="12" t="s">
        <v>146</v>
      </c>
      <c r="E139" s="13">
        <v>1</v>
      </c>
      <c r="F139" s="20">
        <v>0</v>
      </c>
      <c r="G139" s="12" t="s">
        <v>160</v>
      </c>
      <c r="H139" s="13">
        <v>1</v>
      </c>
      <c r="I139" s="20">
        <v>0</v>
      </c>
      <c r="J139" s="12" t="s">
        <v>161</v>
      </c>
      <c r="K139" s="2" t="s">
        <v>48</v>
      </c>
      <c r="L139" s="3">
        <v>45790</v>
      </c>
      <c r="M139" s="3"/>
      <c r="N139" s="1" t="s">
        <v>13</v>
      </c>
      <c r="O139" s="6">
        <f>IF([1]!MasterTable[[#This Row],[المؤشر الفرعي]] &gt; 0, [1]!MasterTable[[#This Row],[المؤشر الفرعي المكتمل]] / [1]!MasterTable[[#This Row],[المؤشر الفرعي]], 0)</f>
        <v>0</v>
      </c>
      <c r="P139" s="6"/>
      <c r="Q139"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39" s="6">
        <f>IF([1]!MasterTable[[#This Row],[احتساب عدد أيام التأخير]] &gt; 3, [1]!MasterTable[[#This Row],[احتساب عدد أيام التأخير]] * 3.3 / 100, 0)</f>
        <v>0</v>
      </c>
      <c r="S139"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40" spans="1:19" x14ac:dyDescent="0.25">
      <c r="A140" s="1" t="s">
        <v>143</v>
      </c>
      <c r="B140" s="1" t="s">
        <v>144</v>
      </c>
      <c r="C140" s="12" t="s">
        <v>162</v>
      </c>
      <c r="D140" s="12" t="s">
        <v>146</v>
      </c>
      <c r="E140" s="13">
        <v>1</v>
      </c>
      <c r="F140" s="20">
        <v>0</v>
      </c>
      <c r="G140" s="12" t="s">
        <v>15</v>
      </c>
      <c r="H140" s="13">
        <v>1</v>
      </c>
      <c r="I140" s="20">
        <v>0</v>
      </c>
      <c r="J140" s="12" t="s">
        <v>163</v>
      </c>
      <c r="K140" s="2" t="s">
        <v>48</v>
      </c>
      <c r="L140" s="3">
        <v>45790</v>
      </c>
      <c r="M140" s="3"/>
      <c r="N140" s="1" t="s">
        <v>13</v>
      </c>
      <c r="O140" s="6">
        <f>IF([1]!MasterTable[[#This Row],[المؤشر الفرعي]] &gt; 0, [1]!MasterTable[[#This Row],[المؤشر الفرعي المكتمل]] / [1]!MasterTable[[#This Row],[المؤشر الفرعي]], 0)</f>
        <v>0</v>
      </c>
      <c r="P140" s="6"/>
      <c r="Q140"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40" s="6">
        <f>IF([1]!MasterTable[[#This Row],[احتساب عدد أيام التأخير]] &gt; 3, [1]!MasterTable[[#This Row],[احتساب عدد أيام التأخير]] * 3.3 / 100, 0)</f>
        <v>0</v>
      </c>
      <c r="S140"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41" spans="1:19" x14ac:dyDescent="0.25">
      <c r="A141" s="1" t="s">
        <v>143</v>
      </c>
      <c r="B141" s="1" t="s">
        <v>144</v>
      </c>
      <c r="C141" s="14" t="s">
        <v>162</v>
      </c>
      <c r="D141" s="14" t="s">
        <v>146</v>
      </c>
      <c r="E141" s="15">
        <v>1</v>
      </c>
      <c r="F141" s="20">
        <v>0</v>
      </c>
      <c r="G141" s="12" t="s">
        <v>19</v>
      </c>
      <c r="H141" s="13">
        <v>1</v>
      </c>
      <c r="I141" s="20">
        <v>0</v>
      </c>
      <c r="J141" s="17" t="s">
        <v>12</v>
      </c>
      <c r="K141" s="2" t="s">
        <v>48</v>
      </c>
      <c r="L141" s="3">
        <v>45790</v>
      </c>
      <c r="M141" s="36"/>
      <c r="N141" s="1" t="s">
        <v>13</v>
      </c>
      <c r="O141" s="6">
        <f>IF([1]!MasterTable[[#This Row],[المؤشر الفرعي]] &gt; 0, [1]!MasterTable[[#This Row],[المؤشر الفرعي المكتمل]] / [1]!MasterTable[[#This Row],[المؤشر الفرعي]], 0)</f>
        <v>0</v>
      </c>
      <c r="P141" s="6"/>
      <c r="Q141"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41" s="6">
        <f>IF([1]!MasterTable[[#This Row],[احتساب عدد أيام التأخير]] &gt; 3, [1]!MasterTable[[#This Row],[احتساب عدد أيام التأخير]] * 3.3 / 100, 0)</f>
        <v>0</v>
      </c>
      <c r="S141"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42" spans="1:19" x14ac:dyDescent="0.25">
      <c r="A142" s="1" t="s">
        <v>143</v>
      </c>
      <c r="B142" s="1" t="s">
        <v>144</v>
      </c>
      <c r="C142" s="14" t="s">
        <v>162</v>
      </c>
      <c r="D142" s="14" t="s">
        <v>146</v>
      </c>
      <c r="E142" s="15">
        <v>1</v>
      </c>
      <c r="F142" s="20">
        <v>0</v>
      </c>
      <c r="G142" s="12" t="s">
        <v>122</v>
      </c>
      <c r="H142" s="13">
        <v>2</v>
      </c>
      <c r="I142" s="20">
        <v>0</v>
      </c>
      <c r="J142" s="17" t="s">
        <v>12</v>
      </c>
      <c r="K142" s="2" t="s">
        <v>48</v>
      </c>
      <c r="L142" s="3">
        <v>45790</v>
      </c>
      <c r="M142" s="36"/>
      <c r="N142" s="1" t="s">
        <v>13</v>
      </c>
      <c r="O142" s="6">
        <f>IF([1]!MasterTable[[#This Row],[المؤشر الفرعي]] &gt; 0, [1]!MasterTable[[#This Row],[المؤشر الفرعي المكتمل]] / [1]!MasterTable[[#This Row],[المؤشر الفرعي]], 0)</f>
        <v>0</v>
      </c>
      <c r="P142" s="6"/>
      <c r="Q142"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42" s="6">
        <f>IF([1]!MasterTable[[#This Row],[احتساب عدد أيام التأخير]] &gt; 3, [1]!MasterTable[[#This Row],[احتساب عدد أيام التأخير]] * 3.3 / 100, 0)</f>
        <v>0</v>
      </c>
      <c r="S142"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43" spans="1:19" x14ac:dyDescent="0.25">
      <c r="A143" s="1" t="s">
        <v>143</v>
      </c>
      <c r="B143" s="1" t="s">
        <v>144</v>
      </c>
      <c r="C143" s="12" t="s">
        <v>164</v>
      </c>
      <c r="D143" s="12" t="s">
        <v>146</v>
      </c>
      <c r="E143" s="13">
        <v>1</v>
      </c>
      <c r="F143" s="20">
        <v>0</v>
      </c>
      <c r="G143" s="12" t="s">
        <v>165</v>
      </c>
      <c r="H143" s="13">
        <v>1</v>
      </c>
      <c r="I143" s="20">
        <v>0</v>
      </c>
      <c r="J143" s="12" t="s">
        <v>166</v>
      </c>
      <c r="K143" s="2" t="s">
        <v>48</v>
      </c>
      <c r="L143" s="3">
        <v>45666</v>
      </c>
      <c r="M143" s="3"/>
      <c r="N143" s="1" t="s">
        <v>11</v>
      </c>
      <c r="O143" s="6">
        <f>IF([1]!MasterTable[[#This Row],[المؤشر الفرعي]] &gt; 0, [1]!MasterTable[[#This Row],[المؤشر الفرعي المكتمل]] / [1]!MasterTable[[#This Row],[المؤشر الفرعي]], 0)</f>
        <v>0</v>
      </c>
      <c r="P143" s="6"/>
      <c r="Q143"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43" s="6">
        <f>IF([1]!MasterTable[[#This Row],[احتساب عدد أيام التأخير]] &gt; 3, [1]!MasterTable[[#This Row],[احتساب عدد أيام التأخير]] * 3.3 / 100, 0)</f>
        <v>0</v>
      </c>
      <c r="S143"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44" spans="1:19" x14ac:dyDescent="0.25">
      <c r="A144" s="1" t="s">
        <v>143</v>
      </c>
      <c r="B144" s="1" t="s">
        <v>144</v>
      </c>
      <c r="C144" s="14" t="s">
        <v>164</v>
      </c>
      <c r="D144" s="14" t="s">
        <v>146</v>
      </c>
      <c r="E144" s="15">
        <v>1</v>
      </c>
      <c r="F144" s="20">
        <v>0</v>
      </c>
      <c r="G144" s="12" t="s">
        <v>10</v>
      </c>
      <c r="H144" s="13">
        <v>1</v>
      </c>
      <c r="I144" s="20">
        <v>0</v>
      </c>
      <c r="J144" s="1" t="s">
        <v>167</v>
      </c>
      <c r="K144" s="2" t="s">
        <v>48</v>
      </c>
      <c r="L144" s="3">
        <v>45790</v>
      </c>
      <c r="M144" s="3"/>
      <c r="N144" s="1" t="s">
        <v>13</v>
      </c>
      <c r="O144" s="6">
        <f>IF([1]!MasterTable[[#This Row],[المؤشر الفرعي]] &gt; 0, [1]!MasterTable[[#This Row],[المؤشر الفرعي المكتمل]] / [1]!MasterTable[[#This Row],[المؤشر الفرعي]], 0)</f>
        <v>0</v>
      </c>
      <c r="P144" s="6"/>
      <c r="Q144"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44" s="6">
        <f>IF([1]!MasterTable[[#This Row],[احتساب عدد أيام التأخير]] &gt; 3, [1]!MasterTable[[#This Row],[احتساب عدد أيام التأخير]] * 3.3 / 100, 0)</f>
        <v>0</v>
      </c>
      <c r="S144"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45" spans="1:19" x14ac:dyDescent="0.25">
      <c r="A145" s="1" t="s">
        <v>143</v>
      </c>
      <c r="B145" s="1" t="s">
        <v>144</v>
      </c>
      <c r="C145" s="14" t="s">
        <v>164</v>
      </c>
      <c r="D145" s="14" t="s">
        <v>146</v>
      </c>
      <c r="E145" s="15">
        <v>1</v>
      </c>
      <c r="F145" s="20">
        <v>0</v>
      </c>
      <c r="G145" s="12" t="s">
        <v>168</v>
      </c>
      <c r="H145" s="31">
        <v>0.85</v>
      </c>
      <c r="I145" s="32">
        <v>0</v>
      </c>
      <c r="J145" s="17" t="s">
        <v>12</v>
      </c>
      <c r="K145" s="29" t="s">
        <v>105</v>
      </c>
      <c r="L145" s="3">
        <v>45790</v>
      </c>
      <c r="M145" s="36"/>
      <c r="N145" s="1" t="s">
        <v>13</v>
      </c>
      <c r="O145" s="6">
        <f>IF([1]!MasterTable[[#This Row],[المؤشر الفرعي]] &gt; 0, [1]!MasterTable[[#This Row],[المؤشر الفرعي المكتمل]] / [1]!MasterTable[[#This Row],[المؤشر الفرعي]], 0)</f>
        <v>0</v>
      </c>
      <c r="P145" s="6"/>
      <c r="Q145"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45" s="6">
        <f>IF([1]!MasterTable[[#This Row],[احتساب عدد أيام التأخير]] &gt; 3, [1]!MasterTable[[#This Row],[احتساب عدد أيام التأخير]] * 3.3 / 100, 0)</f>
        <v>0</v>
      </c>
      <c r="S145"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46" spans="1:19" x14ac:dyDescent="0.25">
      <c r="A146" s="1" t="s">
        <v>143</v>
      </c>
      <c r="B146" s="1" t="s">
        <v>144</v>
      </c>
      <c r="C146" s="14" t="s">
        <v>164</v>
      </c>
      <c r="D146" s="14" t="s">
        <v>146</v>
      </c>
      <c r="E146" s="15">
        <v>1</v>
      </c>
      <c r="F146" s="20">
        <v>0</v>
      </c>
      <c r="G146" s="12" t="s">
        <v>169</v>
      </c>
      <c r="H146" s="13">
        <v>4.5</v>
      </c>
      <c r="I146" s="20">
        <v>0</v>
      </c>
      <c r="J146" s="17" t="s">
        <v>12</v>
      </c>
      <c r="K146" s="2" t="s">
        <v>48</v>
      </c>
      <c r="L146" s="3">
        <v>45790</v>
      </c>
      <c r="M146" s="36"/>
      <c r="N146" s="1" t="s">
        <v>13</v>
      </c>
      <c r="O146" s="6">
        <f>IF([1]!MasterTable[[#This Row],[المؤشر الفرعي]] &gt; 0, [1]!MasterTable[[#This Row],[المؤشر الفرعي المكتمل]] / [1]!MasterTable[[#This Row],[المؤشر الفرعي]], 0)</f>
        <v>0</v>
      </c>
      <c r="P146" s="6"/>
      <c r="Q146"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46" s="6">
        <f>IF([1]!MasterTable[[#This Row],[احتساب عدد أيام التأخير]] &gt; 3, [1]!MasterTable[[#This Row],[احتساب عدد أيام التأخير]] * 3.3 / 100, 0)</f>
        <v>0</v>
      </c>
      <c r="S146"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47" spans="1:19" x14ac:dyDescent="0.25">
      <c r="A147" s="1" t="s">
        <v>143</v>
      </c>
      <c r="B147" s="1" t="s">
        <v>144</v>
      </c>
      <c r="C147" s="12" t="s">
        <v>170</v>
      </c>
      <c r="D147" s="12" t="s">
        <v>146</v>
      </c>
      <c r="E147" s="13">
        <v>1</v>
      </c>
      <c r="F147" s="20">
        <v>0</v>
      </c>
      <c r="G147" s="12" t="s">
        <v>10</v>
      </c>
      <c r="H147" s="13">
        <v>1</v>
      </c>
      <c r="I147" s="20">
        <v>0</v>
      </c>
      <c r="J147" s="12" t="s">
        <v>171</v>
      </c>
      <c r="K147" s="2" t="s">
        <v>48</v>
      </c>
      <c r="L147" s="3">
        <v>45666</v>
      </c>
      <c r="M147" s="3"/>
      <c r="N147" s="1" t="s">
        <v>11</v>
      </c>
      <c r="O147" s="6">
        <f>IF([1]!MasterTable[[#This Row],[المؤشر الفرعي]] &gt; 0, [1]!MasterTable[[#This Row],[المؤشر الفرعي المكتمل]] / [1]!MasterTable[[#This Row],[المؤشر الفرعي]], 0)</f>
        <v>0</v>
      </c>
      <c r="P147" s="6"/>
      <c r="Q147"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47" s="6">
        <f>IF([1]!MasterTable[[#This Row],[احتساب عدد أيام التأخير]] &gt; 3, [1]!MasterTable[[#This Row],[احتساب عدد أيام التأخير]] * 3.3 / 100, 0)</f>
        <v>0</v>
      </c>
      <c r="S147"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48" spans="1:19" x14ac:dyDescent="0.25">
      <c r="A148" s="1" t="s">
        <v>143</v>
      </c>
      <c r="B148" s="1" t="s">
        <v>144</v>
      </c>
      <c r="C148" s="14" t="s">
        <v>170</v>
      </c>
      <c r="D148" s="14" t="s">
        <v>146</v>
      </c>
      <c r="E148" s="16">
        <v>0</v>
      </c>
      <c r="F148" s="16">
        <v>0</v>
      </c>
      <c r="G148" s="17" t="s">
        <v>12</v>
      </c>
      <c r="H148" s="16">
        <v>0</v>
      </c>
      <c r="I148" s="20">
        <v>0</v>
      </c>
      <c r="J148" s="1" t="s">
        <v>172</v>
      </c>
      <c r="K148" s="2" t="s">
        <v>48</v>
      </c>
      <c r="L148" s="3">
        <v>45790</v>
      </c>
      <c r="M148" s="3"/>
      <c r="N148" s="1" t="s">
        <v>13</v>
      </c>
      <c r="O148" s="6">
        <f>IF([1]!MasterTable[[#This Row],[المؤشر الفرعي]] &gt; 0, [1]!MasterTable[[#This Row],[المؤشر الفرعي المكتمل]] / [1]!MasterTable[[#This Row],[المؤشر الفرعي]], 0)</f>
        <v>0</v>
      </c>
      <c r="P148" s="6"/>
      <c r="Q148"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48" s="6">
        <f>IF([1]!MasterTable[[#This Row],[احتساب عدد أيام التأخير]] &gt; 3, [1]!MasterTable[[#This Row],[احتساب عدد أيام التأخير]] * 3.3 / 100, 0)</f>
        <v>0</v>
      </c>
      <c r="S148"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49" spans="1:19" x14ac:dyDescent="0.25">
      <c r="A149" s="12" t="s">
        <v>143</v>
      </c>
      <c r="B149" s="12" t="s">
        <v>144</v>
      </c>
      <c r="C149" s="12" t="s">
        <v>173</v>
      </c>
      <c r="D149" s="12" t="s">
        <v>174</v>
      </c>
      <c r="E149" s="13">
        <v>1</v>
      </c>
      <c r="F149" s="4">
        <v>1</v>
      </c>
      <c r="G149" s="12" t="s">
        <v>15</v>
      </c>
      <c r="H149" s="13">
        <v>19</v>
      </c>
      <c r="I149" s="4">
        <v>19</v>
      </c>
      <c r="J149" s="12" t="s">
        <v>175</v>
      </c>
      <c r="K149" s="2" t="s">
        <v>48</v>
      </c>
      <c r="L149" s="3">
        <v>45666</v>
      </c>
      <c r="M149" s="5">
        <v>45629</v>
      </c>
      <c r="N149" s="18" t="s">
        <v>11</v>
      </c>
      <c r="O149" s="19">
        <f>IF([1]!MasterTable[[#This Row],[المؤشر الفرعي]] &gt; 0, [1]!MasterTable[[#This Row],[المؤشر الفرعي المكتمل]] / [1]!MasterTable[[#This Row],[المؤشر الفرعي]], 0)</f>
        <v>1</v>
      </c>
      <c r="P149" s="19" t="s">
        <v>51</v>
      </c>
      <c r="Q149"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49" s="6">
        <f>IF([1]!MasterTable[[#This Row],[احتساب عدد أيام التأخير]] &gt; 3, [1]!MasterTable[[#This Row],[احتساب عدد أيام التأخير]] * 3.3 / 100, 0)</f>
        <v>0</v>
      </c>
      <c r="S149"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50" spans="1:19" x14ac:dyDescent="0.25">
      <c r="A150" s="1" t="s">
        <v>143</v>
      </c>
      <c r="B150" s="1" t="s">
        <v>144</v>
      </c>
      <c r="C150" s="1" t="s">
        <v>173</v>
      </c>
      <c r="D150" s="14" t="s">
        <v>174</v>
      </c>
      <c r="E150" s="16">
        <v>0</v>
      </c>
      <c r="F150" s="16"/>
      <c r="G150" s="17" t="s">
        <v>15</v>
      </c>
      <c r="H150" s="37">
        <v>6</v>
      </c>
      <c r="I150" s="4">
        <v>10</v>
      </c>
      <c r="J150" s="14" t="s">
        <v>176</v>
      </c>
      <c r="K150" s="2" t="s">
        <v>48</v>
      </c>
      <c r="L150" s="3">
        <v>45790</v>
      </c>
      <c r="M150" s="5">
        <v>45761</v>
      </c>
      <c r="N150" s="1" t="s">
        <v>13</v>
      </c>
      <c r="O150" s="6">
        <f>IF([1]!MasterTable[[#This Row],[المؤشر الفرعي]] &gt; 0, [1]!MasterTable[[#This Row],[المؤشر الفرعي المكتمل]] / [1]!MasterTable[[#This Row],[المؤشر الفرعي]], 0)</f>
        <v>1.6666666666666667</v>
      </c>
      <c r="P150" s="19" t="s">
        <v>51</v>
      </c>
      <c r="Q150"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50" s="6">
        <f>IF([1]!MasterTable[[#This Row],[احتساب عدد أيام التأخير]] &gt; 3, [1]!MasterTable[[#This Row],[احتساب عدد أيام التأخير]] * 3.3 / 100, 0)</f>
        <v>0</v>
      </c>
      <c r="S150"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51" spans="1:19" x14ac:dyDescent="0.25">
      <c r="A151" s="1" t="s">
        <v>143</v>
      </c>
      <c r="B151" s="1" t="s">
        <v>144</v>
      </c>
      <c r="C151" s="12" t="s">
        <v>177</v>
      </c>
      <c r="D151" s="12" t="s">
        <v>174</v>
      </c>
      <c r="E151" s="13">
        <v>1</v>
      </c>
      <c r="F151" s="4">
        <v>1</v>
      </c>
      <c r="G151" s="12" t="s">
        <v>19</v>
      </c>
      <c r="H151" s="13">
        <v>2</v>
      </c>
      <c r="I151" s="4">
        <v>2</v>
      </c>
      <c r="J151" s="12" t="s">
        <v>178</v>
      </c>
      <c r="K151" s="2" t="s">
        <v>48</v>
      </c>
      <c r="L151" s="3">
        <v>45666</v>
      </c>
      <c r="M151" s="5">
        <v>45761</v>
      </c>
      <c r="N151" s="1" t="s">
        <v>11</v>
      </c>
      <c r="O151" s="6">
        <f>IF([1]!MasterTable[[#This Row],[المؤشر الفرعي]] &gt; 0, [1]!MasterTable[[#This Row],[المؤشر الفرعي المكتمل]] / [1]!MasterTable[[#This Row],[المؤشر الفرعي]], 0)</f>
        <v>1</v>
      </c>
      <c r="P151" s="19" t="s">
        <v>51</v>
      </c>
      <c r="Q151"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68</v>
      </c>
      <c r="R151" s="6">
        <f>IF([1]!MasterTable[[#This Row],[احتساب عدد أيام التأخير]] &gt; 3, [1]!MasterTable[[#This Row],[احتساب عدد أيام التأخير]] * 3.3 / 100, 0)</f>
        <v>2.2439999999999998</v>
      </c>
      <c r="S151"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68</v>
      </c>
    </row>
    <row r="152" spans="1:19" x14ac:dyDescent="0.25">
      <c r="A152" s="1" t="s">
        <v>143</v>
      </c>
      <c r="B152" s="1" t="s">
        <v>144</v>
      </c>
      <c r="C152" s="12" t="s">
        <v>179</v>
      </c>
      <c r="D152" s="12" t="s">
        <v>174</v>
      </c>
      <c r="E152" s="13">
        <v>1</v>
      </c>
      <c r="F152" s="4">
        <v>1</v>
      </c>
      <c r="G152" s="12" t="s">
        <v>74</v>
      </c>
      <c r="H152" s="13">
        <v>1</v>
      </c>
      <c r="I152" s="4">
        <v>1</v>
      </c>
      <c r="J152" s="12" t="s">
        <v>180</v>
      </c>
      <c r="K152" s="2" t="s">
        <v>48</v>
      </c>
      <c r="L152" s="3">
        <v>45666</v>
      </c>
      <c r="M152" s="5">
        <v>45761</v>
      </c>
      <c r="N152" s="1" t="s">
        <v>11</v>
      </c>
      <c r="O152" s="6">
        <f>IF([1]!MasterTable[[#This Row],[المؤشر الفرعي]] &gt; 0, [1]!MasterTable[[#This Row],[المؤشر الفرعي المكتمل]] / [1]!MasterTable[[#This Row],[المؤشر الفرعي]], 0)</f>
        <v>1</v>
      </c>
      <c r="P152" s="19" t="s">
        <v>51</v>
      </c>
      <c r="Q152"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68</v>
      </c>
      <c r="R152" s="6">
        <f>IF([1]!MasterTable[[#This Row],[احتساب عدد أيام التأخير]] &gt; 3, [1]!MasterTable[[#This Row],[احتساب عدد أيام التأخير]] * 3.3 / 100, 0)</f>
        <v>2.2439999999999998</v>
      </c>
      <c r="S152"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68</v>
      </c>
    </row>
    <row r="153" spans="1:19" x14ac:dyDescent="0.25">
      <c r="A153" s="1" t="s">
        <v>143</v>
      </c>
      <c r="B153" s="1" t="s">
        <v>144</v>
      </c>
      <c r="C153" s="12" t="s">
        <v>181</v>
      </c>
      <c r="D153" s="12" t="s">
        <v>174</v>
      </c>
      <c r="E153" s="13">
        <v>1</v>
      </c>
      <c r="F153" s="4">
        <v>1</v>
      </c>
      <c r="G153" s="12" t="s">
        <v>10</v>
      </c>
      <c r="H153" s="13">
        <v>1</v>
      </c>
      <c r="I153" s="4">
        <v>1</v>
      </c>
      <c r="J153" s="12" t="s">
        <v>182</v>
      </c>
      <c r="K153" s="2" t="s">
        <v>48</v>
      </c>
      <c r="L153" s="3">
        <v>45666</v>
      </c>
      <c r="M153" s="5">
        <v>45761</v>
      </c>
      <c r="N153" s="1" t="s">
        <v>11</v>
      </c>
      <c r="O153" s="6">
        <f>IF([1]!MasterTable[[#This Row],[المؤشر الفرعي]] &gt; 0, [1]!MasterTable[[#This Row],[المؤشر الفرعي المكتمل]] / [1]!MasterTable[[#This Row],[المؤشر الفرعي]], 0)</f>
        <v>1</v>
      </c>
      <c r="P153" s="19" t="s">
        <v>51</v>
      </c>
      <c r="Q153"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68</v>
      </c>
      <c r="R153" s="6">
        <f>IF([1]!MasterTable[[#This Row],[احتساب عدد أيام التأخير]] &gt; 3, [1]!MasterTable[[#This Row],[احتساب عدد أيام التأخير]] * 3.3 / 100, 0)</f>
        <v>2.2439999999999998</v>
      </c>
      <c r="S153"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68</v>
      </c>
    </row>
    <row r="154" spans="1:19" x14ac:dyDescent="0.25">
      <c r="A154" s="1" t="s">
        <v>143</v>
      </c>
      <c r="B154" s="1" t="s">
        <v>144</v>
      </c>
      <c r="C154" s="1" t="s">
        <v>181</v>
      </c>
      <c r="D154" s="14" t="s">
        <v>174</v>
      </c>
      <c r="E154" s="16">
        <v>0</v>
      </c>
      <c r="F154" s="16"/>
      <c r="G154" s="17" t="s">
        <v>10</v>
      </c>
      <c r="H154" s="16">
        <v>0</v>
      </c>
      <c r="I154" s="4">
        <v>1</v>
      </c>
      <c r="J154" s="14" t="s">
        <v>183</v>
      </c>
      <c r="K154" s="2" t="s">
        <v>48</v>
      </c>
      <c r="L154" s="3">
        <v>45790</v>
      </c>
      <c r="M154" s="5">
        <v>45761</v>
      </c>
      <c r="N154" s="1" t="s">
        <v>13</v>
      </c>
      <c r="O154" s="6">
        <f>IF([1]!MasterTable[[#This Row],[المؤشر الفرعي]] &gt; 0, [1]!MasterTable[[#This Row],[المؤشر الفرعي المكتمل]] / [1]!MasterTable[[#This Row],[المؤشر الفرعي]], 0)</f>
        <v>0</v>
      </c>
      <c r="P154" s="19" t="s">
        <v>51</v>
      </c>
      <c r="Q154"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54" s="6">
        <f>IF([1]!MasterTable[[#This Row],[احتساب عدد أيام التأخير]] &gt; 3, [1]!MasterTable[[#This Row],[احتساب عدد أيام التأخير]] * 3.3 / 100, 0)</f>
        <v>0</v>
      </c>
      <c r="S154"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55" spans="1:19" x14ac:dyDescent="0.25">
      <c r="A155" s="1" t="s">
        <v>143</v>
      </c>
      <c r="B155" s="1" t="s">
        <v>144</v>
      </c>
      <c r="C155" s="12" t="s">
        <v>184</v>
      </c>
      <c r="D155" s="12" t="s">
        <v>174</v>
      </c>
      <c r="E155" s="13">
        <v>1</v>
      </c>
      <c r="F155" s="20">
        <v>0</v>
      </c>
      <c r="G155" s="12" t="s">
        <v>10</v>
      </c>
      <c r="H155" s="13">
        <v>1</v>
      </c>
      <c r="I155" s="20">
        <v>0</v>
      </c>
      <c r="J155" s="12" t="s">
        <v>185</v>
      </c>
      <c r="K155" s="2" t="s">
        <v>48</v>
      </c>
      <c r="L155" s="3">
        <v>45790</v>
      </c>
      <c r="M155" s="3"/>
      <c r="N155" s="1" t="s">
        <v>13</v>
      </c>
      <c r="O155" s="6">
        <f>IF([1]!MasterTable[[#This Row],[المؤشر الفرعي]] &gt; 0, [1]!MasterTable[[#This Row],[المؤشر الفرعي المكتمل]] / [1]!MasterTable[[#This Row],[المؤشر الفرعي]], 0)</f>
        <v>0</v>
      </c>
      <c r="P155" s="6"/>
      <c r="Q155"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55" s="6">
        <f>IF([1]!MasterTable[[#This Row],[احتساب عدد أيام التأخير]] &gt; 3, [1]!MasterTable[[#This Row],[احتساب عدد أيام التأخير]] * 3.3 / 100, 0)</f>
        <v>0</v>
      </c>
      <c r="S155"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56" spans="1:19" x14ac:dyDescent="0.25">
      <c r="A156" s="1" t="s">
        <v>143</v>
      </c>
      <c r="B156" s="1" t="s">
        <v>144</v>
      </c>
      <c r="C156" s="12" t="s">
        <v>186</v>
      </c>
      <c r="D156" s="12" t="s">
        <v>174</v>
      </c>
      <c r="E156" s="13">
        <v>1</v>
      </c>
      <c r="F156" s="4">
        <v>1</v>
      </c>
      <c r="G156" s="12" t="s">
        <v>10</v>
      </c>
      <c r="H156" s="13">
        <v>1</v>
      </c>
      <c r="I156" s="4">
        <v>1</v>
      </c>
      <c r="J156" s="12" t="s">
        <v>187</v>
      </c>
      <c r="K156" s="2" t="s">
        <v>48</v>
      </c>
      <c r="L156" s="3">
        <v>45666</v>
      </c>
      <c r="M156" s="5">
        <v>45761</v>
      </c>
      <c r="N156" s="1" t="s">
        <v>11</v>
      </c>
      <c r="O156" s="6">
        <f>IF([1]!MasterTable[[#This Row],[المؤشر الفرعي]] &gt; 0, [1]!MasterTable[[#This Row],[المؤشر الفرعي المكتمل]] / [1]!MasterTable[[#This Row],[المؤشر الفرعي]], 0)</f>
        <v>1</v>
      </c>
      <c r="P156" s="19" t="s">
        <v>51</v>
      </c>
      <c r="Q156"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68</v>
      </c>
      <c r="R156" s="6">
        <f>IF([1]!MasterTable[[#This Row],[احتساب عدد أيام التأخير]] &gt; 3, [1]!MasterTable[[#This Row],[احتساب عدد أيام التأخير]] * 3.3 / 100, 0)</f>
        <v>2.2439999999999998</v>
      </c>
      <c r="S156"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68</v>
      </c>
    </row>
    <row r="157" spans="1:19" x14ac:dyDescent="0.25">
      <c r="A157" s="1" t="s">
        <v>143</v>
      </c>
      <c r="B157" s="1" t="s">
        <v>144</v>
      </c>
      <c r="C157" s="14" t="s">
        <v>186</v>
      </c>
      <c r="D157" s="14" t="s">
        <v>174</v>
      </c>
      <c r="E157" s="16">
        <v>0</v>
      </c>
      <c r="F157" s="16"/>
      <c r="G157" s="17" t="s">
        <v>10</v>
      </c>
      <c r="H157" s="15">
        <v>1</v>
      </c>
      <c r="I157" s="4">
        <v>1</v>
      </c>
      <c r="J157" s="14" t="s">
        <v>188</v>
      </c>
      <c r="K157" s="2" t="s">
        <v>48</v>
      </c>
      <c r="L157" s="3">
        <v>45790</v>
      </c>
      <c r="M157" s="5">
        <v>45761</v>
      </c>
      <c r="N157" s="1" t="s">
        <v>13</v>
      </c>
      <c r="O157" s="6">
        <f>IF([1]!MasterTable[[#This Row],[المؤشر الفرعي]] &gt; 0, [1]!MasterTable[[#This Row],[المؤشر الفرعي المكتمل]] / [1]!MasterTable[[#This Row],[المؤشر الفرعي]], 0)</f>
        <v>1</v>
      </c>
      <c r="P157" s="19" t="s">
        <v>51</v>
      </c>
      <c r="Q157"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57" s="6">
        <f>IF([1]!MasterTable[[#This Row],[احتساب عدد أيام التأخير]] &gt; 3, [1]!MasterTable[[#This Row],[احتساب عدد أيام التأخير]] * 3.3 / 100, 0)</f>
        <v>0</v>
      </c>
      <c r="S157"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58" spans="1:19" x14ac:dyDescent="0.25">
      <c r="A158" s="1" t="s">
        <v>143</v>
      </c>
      <c r="B158" s="1" t="s">
        <v>144</v>
      </c>
      <c r="C158" s="12" t="s">
        <v>189</v>
      </c>
      <c r="D158" s="12" t="s">
        <v>174</v>
      </c>
      <c r="E158" s="13">
        <v>1</v>
      </c>
      <c r="F158" s="20">
        <v>0</v>
      </c>
      <c r="G158" s="12" t="s">
        <v>77</v>
      </c>
      <c r="H158" s="13">
        <v>1</v>
      </c>
      <c r="I158" s="20">
        <v>0</v>
      </c>
      <c r="J158" s="12" t="s">
        <v>190</v>
      </c>
      <c r="K158" s="2" t="s">
        <v>48</v>
      </c>
      <c r="L158" s="3">
        <v>45790</v>
      </c>
      <c r="M158" s="3"/>
      <c r="N158" s="1" t="s">
        <v>13</v>
      </c>
      <c r="O158" s="6">
        <f>IF([1]!MasterTable[[#This Row],[المؤشر الفرعي]] &gt; 0, [1]!MasterTable[[#This Row],[المؤشر الفرعي المكتمل]] / [1]!MasterTable[[#This Row],[المؤشر الفرعي]], 0)</f>
        <v>0</v>
      </c>
      <c r="P158" s="6"/>
      <c r="Q158"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58" s="6">
        <f>IF([1]!MasterTable[[#This Row],[احتساب عدد أيام التأخير]] &gt; 3, [1]!MasterTable[[#This Row],[احتساب عدد أيام التأخير]] * 3.3 / 100, 0)</f>
        <v>0</v>
      </c>
      <c r="S158"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59" spans="1:19" x14ac:dyDescent="0.25">
      <c r="A159" s="1" t="s">
        <v>17</v>
      </c>
      <c r="B159" s="1" t="s">
        <v>18</v>
      </c>
      <c r="C159" s="12" t="s">
        <v>191</v>
      </c>
      <c r="D159" s="12" t="s">
        <v>174</v>
      </c>
      <c r="E159" s="13">
        <v>1</v>
      </c>
      <c r="F159" s="20">
        <v>0</v>
      </c>
      <c r="G159" s="12" t="s">
        <v>192</v>
      </c>
      <c r="H159" s="13">
        <v>200</v>
      </c>
      <c r="I159" s="20">
        <v>0</v>
      </c>
      <c r="J159" s="12" t="s">
        <v>193</v>
      </c>
      <c r="K159" s="2" t="s">
        <v>48</v>
      </c>
      <c r="L159" s="3">
        <v>45790</v>
      </c>
      <c r="M159" s="3"/>
      <c r="N159" s="1" t="s">
        <v>13</v>
      </c>
      <c r="O159" s="6">
        <f>IF([1]!MasterTable[[#This Row],[المؤشر الفرعي]] &gt; 0, [1]!MasterTable[[#This Row],[المؤشر الفرعي المكتمل]] / [1]!MasterTable[[#This Row],[المؤشر الفرعي]], 0)</f>
        <v>0</v>
      </c>
      <c r="P159" s="6"/>
      <c r="Q159"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59" s="6">
        <f>IF([1]!MasterTable[[#This Row],[احتساب عدد أيام التأخير]] &gt; 3, [1]!MasterTable[[#This Row],[احتساب عدد أيام التأخير]] * 3.3 / 100, 0)</f>
        <v>0</v>
      </c>
      <c r="S159"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60" spans="1:19" x14ac:dyDescent="0.25">
      <c r="A160" s="1" t="s">
        <v>17</v>
      </c>
      <c r="B160" s="1" t="s">
        <v>18</v>
      </c>
      <c r="C160" s="14" t="s">
        <v>191</v>
      </c>
      <c r="D160" s="14" t="s">
        <v>174</v>
      </c>
      <c r="E160" s="15">
        <v>1</v>
      </c>
      <c r="F160" s="20">
        <v>0</v>
      </c>
      <c r="G160" s="12" t="s">
        <v>194</v>
      </c>
      <c r="H160" s="13">
        <v>200</v>
      </c>
      <c r="I160" s="20">
        <v>0</v>
      </c>
      <c r="J160" s="17" t="s">
        <v>12</v>
      </c>
      <c r="K160" s="2" t="s">
        <v>48</v>
      </c>
      <c r="L160" s="3">
        <v>45790</v>
      </c>
      <c r="M160" s="3"/>
      <c r="N160" s="1" t="s">
        <v>13</v>
      </c>
      <c r="O160" s="6">
        <f>IF([1]!MasterTable[[#This Row],[المؤشر الفرعي]] &gt; 0, [1]!MasterTable[[#This Row],[المؤشر الفرعي المكتمل]] / [1]!MasterTable[[#This Row],[المؤشر الفرعي]], 0)</f>
        <v>0</v>
      </c>
      <c r="P160" s="6"/>
      <c r="Q160"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60" s="6">
        <f>IF([1]!MasterTable[[#This Row],[احتساب عدد أيام التأخير]] &gt; 3, [1]!MasterTable[[#This Row],[احتساب عدد أيام التأخير]] * 3.3 / 100, 0)</f>
        <v>0</v>
      </c>
      <c r="S160"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61" spans="1:19" x14ac:dyDescent="0.25">
      <c r="A161" s="1" t="s">
        <v>17</v>
      </c>
      <c r="B161" s="1" t="s">
        <v>18</v>
      </c>
      <c r="C161" s="14" t="s">
        <v>191</v>
      </c>
      <c r="D161" s="14" t="s">
        <v>174</v>
      </c>
      <c r="E161" s="15">
        <v>1</v>
      </c>
      <c r="F161" s="20">
        <v>0</v>
      </c>
      <c r="G161" s="12" t="s">
        <v>77</v>
      </c>
      <c r="H161" s="13">
        <v>2</v>
      </c>
      <c r="I161" s="20">
        <v>0</v>
      </c>
      <c r="J161" s="17" t="s">
        <v>12</v>
      </c>
      <c r="K161" s="2" t="s">
        <v>48</v>
      </c>
      <c r="L161" s="3">
        <v>45790</v>
      </c>
      <c r="M161" s="3"/>
      <c r="N161" s="1" t="s">
        <v>13</v>
      </c>
      <c r="O161" s="6">
        <f>IF([1]!MasterTable[[#This Row],[المؤشر الفرعي]] &gt; 0, [1]!MasterTable[[#This Row],[المؤشر الفرعي المكتمل]] / [1]!MasterTable[[#This Row],[المؤشر الفرعي]], 0)</f>
        <v>0</v>
      </c>
      <c r="P161" s="6"/>
      <c r="Q161"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61" s="6">
        <f>IF([1]!MasterTable[[#This Row],[احتساب عدد أيام التأخير]] &gt; 3, [1]!MasterTable[[#This Row],[احتساب عدد أيام التأخير]] * 3.3 / 100, 0)</f>
        <v>0</v>
      </c>
      <c r="S161"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62" spans="1:19" x14ac:dyDescent="0.25">
      <c r="A162" s="1" t="s">
        <v>17</v>
      </c>
      <c r="B162" s="1" t="s">
        <v>18</v>
      </c>
      <c r="C162" s="14" t="s">
        <v>191</v>
      </c>
      <c r="D162" s="14" t="s">
        <v>174</v>
      </c>
      <c r="E162" s="15">
        <v>1</v>
      </c>
      <c r="F162" s="20">
        <v>0</v>
      </c>
      <c r="G162" s="12" t="s">
        <v>195</v>
      </c>
      <c r="H162" s="13">
        <v>8</v>
      </c>
      <c r="I162" s="20">
        <v>0</v>
      </c>
      <c r="J162" s="17" t="s">
        <v>12</v>
      </c>
      <c r="K162" s="2" t="s">
        <v>48</v>
      </c>
      <c r="L162" s="3">
        <v>45790</v>
      </c>
      <c r="M162" s="3"/>
      <c r="N162" s="1" t="s">
        <v>13</v>
      </c>
      <c r="O162" s="6">
        <f>IF([1]!MasterTable[[#This Row],[المؤشر الفرعي]] &gt; 0, [1]!MasterTable[[#This Row],[المؤشر الفرعي المكتمل]] / [1]!MasterTable[[#This Row],[المؤشر الفرعي]], 0)</f>
        <v>0</v>
      </c>
      <c r="P162" s="6"/>
      <c r="Q162"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62" s="6">
        <f>IF([1]!MasterTable[[#This Row],[احتساب عدد أيام التأخير]] &gt; 3, [1]!MasterTable[[#This Row],[احتساب عدد أيام التأخير]] * 3.3 / 100, 0)</f>
        <v>0</v>
      </c>
      <c r="S162"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63" spans="1:19" x14ac:dyDescent="0.25">
      <c r="A163" s="1"/>
      <c r="B163" s="1"/>
      <c r="C163" s="1"/>
      <c r="D163" s="1" t="s">
        <v>196</v>
      </c>
      <c r="E163" s="2"/>
      <c r="F163" s="2"/>
      <c r="G163" s="1"/>
      <c r="H163" s="2"/>
      <c r="I163" s="2"/>
      <c r="J163" s="1"/>
      <c r="K163" s="2"/>
      <c r="L163" s="3"/>
      <c r="M163" s="3"/>
      <c r="N163" s="1" t="str">
        <f>IF([1]!MasterTable[[#This Row],[المؤشر الفرعي]]=[1]!MasterTable[[#This Row],[المؤشر الفرعي المكتمل]], "مكتمل", "غير مكتمل")</f>
        <v>مكتمل</v>
      </c>
      <c r="O163" s="6">
        <f>IF([1]!MasterTable[[#This Row],[المؤشر الفرعي]] &gt; 0, [1]!MasterTable[[#This Row],[المؤشر الفرعي المكتمل]] / [1]!MasterTable[[#This Row],[المؤشر الفرعي]], 0)</f>
        <v>0</v>
      </c>
      <c r="P163" s="6"/>
      <c r="Q163" s="2">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0</v>
      </c>
      <c r="R163" s="6">
        <f>IF([1]!MasterTable[[#This Row],[احتساب عدد أيام التأخير]] &gt; 3, [1]!MasterTable[[#This Row],[احتساب عدد أيام التأخير]] * 3.3 / 100, 0)</f>
        <v>0</v>
      </c>
      <c r="S163" s="2">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0</v>
      </c>
    </row>
    <row r="164" spans="1:19" x14ac:dyDescent="0.25">
      <c r="A164" s="38" t="s">
        <v>52</v>
      </c>
      <c r="B164" s="38" t="s">
        <v>197</v>
      </c>
      <c r="C164" s="14"/>
      <c r="D164" s="14" t="s">
        <v>198</v>
      </c>
      <c r="E164" s="16"/>
      <c r="F164" s="16"/>
      <c r="G164" s="17"/>
      <c r="H164" s="15"/>
      <c r="I164" s="4"/>
      <c r="J164" s="38"/>
      <c r="K164" s="39"/>
      <c r="L164" s="40"/>
      <c r="M164" s="5"/>
      <c r="N164" s="41"/>
      <c r="O164" s="19" t="e">
        <f>IF([1]!MasterTable[[#This Row],[المؤشر الفرعي]] &gt; 0, [1]!MasterTable[[#This Row],[المؤشر الفرعي المكتمل]] / [1]!MasterTable[[#This Row],[المؤشر الفرعي]], 0)</f>
        <v>#REF!</v>
      </c>
      <c r="P164" s="19"/>
      <c r="Q164" s="39" t="e">
        <f>IF([1]!MasterTable[[#This Row],[تاريخ التسليم الفعلي]] &gt; [1]!MasterTable[[#This Row],[تاريخ التسليم حسب الخطة]],
   IF(NETWORKDAYS([1]!MasterTable[[#This Row],[تاريخ التسليم حسب الخطة]], [1]!MasterTable[[#This Row],[تاريخ التسليم الفعلي]]) &gt; 3,  NETWORKDAYS([1]!MasterTable[[#This Row],[تاريخ التسليم حسب الخطة]], [1]!MasterTable[[#This Row],[تاريخ التسليم الفعلي]]), 0), 0)</f>
        <v>#REF!</v>
      </c>
      <c r="R164" s="6" t="e">
        <f>IF([1]!MasterTable[[#This Row],[احتساب عدد أيام التأخير]] &gt; 3, [1]!MasterTable[[#This Row],[احتساب عدد أيام التأخير]] * 3.3 / 100, 0)</f>
        <v>#REF!</v>
      </c>
      <c r="S164" s="39" t="e">
        <f>IF([1]!MasterTable[[#This Row],[تاريخ التسليم الفعلي]] &gt; [1]!MasterTable[[#This Row],[تاريخ التسليم حسب الخطة]],
   IF(NETWORKDAYS([1]!MasterTable[[#This Row],[تاريخ التسليم حسب الخطة]], [1]!MasterTable[[#This Row],[تاريخ التسليم الفعلي]]) &gt; 10,  NETWORKDAYS([1]!MasterTable[[#This Row],[تاريخ التسليم حسب الخطة]], [1]!MasterTable[[#This Row],[تاريخ التسليم الفعلي]]), 0), 0)</f>
        <v>#REF!</v>
      </c>
    </row>
  </sheetData>
  <conditionalFormatting sqref="O1:P164">
    <cfRule type="cellIs" dxfId="9" priority="5" operator="equal">
      <formula>"N/A"</formula>
    </cfRule>
  </conditionalFormatting>
  <conditionalFormatting sqref="Q2:Q164">
    <cfRule type="cellIs" dxfId="8" priority="1" operator="greaterThan">
      <formula>3</formula>
    </cfRule>
  </conditionalFormatting>
  <conditionalFormatting sqref="R2:R164">
    <cfRule type="cellIs" dxfId="7" priority="2" operator="greaterThan">
      <formula>0</formula>
    </cfRule>
    <cfRule type="cellIs" dxfId="6" priority="4" operator="greaterThan">
      <formula>3</formula>
    </cfRule>
  </conditionalFormatting>
  <conditionalFormatting sqref="S2:S164">
    <cfRule type="cellIs" dxfId="5" priority="3" operator="greaterThan">
      <formula>10</formula>
    </cfRule>
  </conditionalFormatting>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15</vt:i4>
      </vt:variant>
    </vt:vector>
  </HeadingPairs>
  <TitlesOfParts>
    <vt:vector size="16" baseType="lpstr">
      <vt:lpstr>Master</vt:lpstr>
      <vt:lpstr>المؤشر</vt:lpstr>
      <vt:lpstr>المؤشر_المتحقق</vt:lpstr>
      <vt:lpstr>المؤشر_المستهدف</vt:lpstr>
      <vt:lpstr>المؤشر_المكتمل</vt:lpstr>
      <vt:lpstr>الوحدة</vt:lpstr>
      <vt:lpstr>أهداف_الإدارة</vt:lpstr>
      <vt:lpstr>أهداف_الجامعة</vt:lpstr>
      <vt:lpstr>أهداف_الوحدة</vt:lpstr>
      <vt:lpstr>تاريخ_التسليم_الفعلي</vt:lpstr>
      <vt:lpstr>تاريخ_التسليم_حسب_الخطة</vt:lpstr>
      <vt:lpstr>فترة_التسليم</vt:lpstr>
      <vt:lpstr>نسبة_احتساب_التأخير_في_التقييم_السنوي</vt:lpstr>
      <vt:lpstr>نسبة_احتساب_التأخير_في_لوحة_المعلومات</vt:lpstr>
      <vt:lpstr>نسبة_الإنجاز</vt:lpstr>
      <vt:lpstr>نوع_المؤشر</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Alanoud Alsubaie</dc:creator>
  <cp:keywords/>
  <dc:description/>
  <cp:lastModifiedBy>Alanoud Mub. Alsubaie</cp:lastModifiedBy>
  <cp:revision/>
  <dcterms:created xsi:type="dcterms:W3CDTF">2015-06-05T18:17:20Z</dcterms:created>
  <dcterms:modified xsi:type="dcterms:W3CDTF">2025-05-18T06:08:33Z</dcterms:modified>
  <cp:category/>
  <cp:contentStatus/>
</cp:coreProperties>
</file>